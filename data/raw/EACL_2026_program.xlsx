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dfast/projects/private-projects/eacl26-pref-arena/data/raw/"/>
    </mc:Choice>
  </mc:AlternateContent>
  <xr:revisionPtr revIDLastSave="0" documentId="13_ncr:1_{4A8C9286-0216-0A4B-AF9D-F43648BD9CD2}" xr6:coauthVersionLast="47" xr6:coauthVersionMax="47" xr10:uidLastSave="{00000000-0000-0000-0000-000000000000}"/>
  <bookViews>
    <workbookView xWindow="4440" yWindow="760" windowWidth="25800" windowHeight="17640" xr2:uid="{00000000-000D-0000-FFFF-FFFF00000000}"/>
  </bookViews>
  <sheets>
    <sheet name="EACL 26 Program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J8" i="1"/>
  <c r="H8" i="1"/>
  <c r="F8" i="1"/>
  <c r="E8" i="1"/>
  <c r="D8" i="1"/>
  <c r="C8" i="1"/>
  <c r="B8" i="1"/>
  <c r="A8" i="1"/>
  <c r="K63" i="1"/>
  <c r="J63" i="1"/>
  <c r="H63" i="1"/>
  <c r="F63" i="1"/>
  <c r="E63" i="1"/>
  <c r="D63" i="1"/>
  <c r="C63" i="1"/>
  <c r="B63" i="1"/>
  <c r="A63" i="1"/>
  <c r="K32" i="1"/>
  <c r="J32" i="1"/>
  <c r="H32" i="1"/>
  <c r="F32" i="1"/>
  <c r="E32" i="1"/>
  <c r="D32" i="1"/>
  <c r="C32" i="1"/>
  <c r="B32" i="1"/>
  <c r="A32" i="1"/>
  <c r="K27" i="1"/>
  <c r="J27" i="1"/>
  <c r="H27" i="1"/>
  <c r="F27" i="1"/>
  <c r="E27" i="1"/>
  <c r="D27" i="1"/>
  <c r="C27" i="1"/>
  <c r="B27" i="1"/>
  <c r="A27" i="1"/>
  <c r="K22" i="1"/>
  <c r="J22" i="1"/>
  <c r="H22" i="1"/>
  <c r="F22" i="1"/>
  <c r="E22" i="1"/>
  <c r="D22" i="1"/>
  <c r="C22" i="1"/>
  <c r="B22" i="1"/>
  <c r="A22" i="1"/>
  <c r="K26" i="1"/>
  <c r="J26" i="1"/>
  <c r="H26" i="1"/>
  <c r="F26" i="1"/>
  <c r="E26" i="1"/>
  <c r="D26" i="1"/>
  <c r="C26" i="1"/>
  <c r="B26" i="1"/>
  <c r="A26" i="1"/>
  <c r="K7" i="1"/>
  <c r="J7" i="1"/>
  <c r="H7" i="1"/>
  <c r="F7" i="1"/>
  <c r="E7" i="1"/>
  <c r="D7" i="1"/>
  <c r="C7" i="1"/>
  <c r="B7" i="1"/>
  <c r="A7" i="1"/>
  <c r="K21" i="1"/>
  <c r="J21" i="1"/>
  <c r="H21" i="1"/>
  <c r="F21" i="1"/>
  <c r="E21" i="1"/>
  <c r="D21" i="1"/>
  <c r="C21" i="1"/>
  <c r="B21" i="1"/>
  <c r="A21" i="1"/>
  <c r="K20" i="1"/>
  <c r="J20" i="1"/>
  <c r="H20" i="1"/>
  <c r="F20" i="1"/>
  <c r="E20" i="1"/>
  <c r="C20" i="1"/>
  <c r="B20" i="1"/>
  <c r="A20" i="1"/>
  <c r="K19" i="1"/>
  <c r="J19" i="1"/>
  <c r="H19" i="1"/>
  <c r="F19" i="1"/>
  <c r="E19" i="1"/>
  <c r="C19" i="1"/>
  <c r="B19" i="1"/>
  <c r="A19" i="1"/>
  <c r="K18" i="1"/>
  <c r="J18" i="1"/>
  <c r="H18" i="1"/>
  <c r="F18" i="1"/>
  <c r="E18" i="1"/>
  <c r="D18" i="1"/>
  <c r="C18" i="1"/>
  <c r="B18" i="1"/>
  <c r="A18" i="1"/>
  <c r="K36" i="1"/>
  <c r="J36" i="1"/>
  <c r="H36" i="1"/>
  <c r="F36" i="1"/>
  <c r="E36" i="1"/>
  <c r="D36" i="1"/>
  <c r="C36" i="1"/>
  <c r="B36" i="1"/>
  <c r="A36" i="1"/>
  <c r="K35" i="1"/>
  <c r="J35" i="1"/>
  <c r="H35" i="1"/>
  <c r="F35" i="1"/>
  <c r="E35" i="1"/>
  <c r="D35" i="1"/>
  <c r="C35" i="1"/>
  <c r="B35" i="1"/>
  <c r="A35" i="1"/>
  <c r="K6" i="1"/>
  <c r="J6" i="1"/>
  <c r="H6" i="1"/>
  <c r="F6" i="1"/>
  <c r="E6" i="1"/>
  <c r="D6" i="1"/>
  <c r="C6" i="1"/>
  <c r="B6" i="1"/>
  <c r="A6" i="1"/>
  <c r="K31" i="1"/>
  <c r="J31" i="1"/>
  <c r="H31" i="1"/>
  <c r="F31" i="1"/>
  <c r="E31" i="1"/>
  <c r="D31" i="1"/>
  <c r="C31" i="1"/>
  <c r="B31" i="1"/>
  <c r="A31" i="1"/>
  <c r="K5" i="1"/>
  <c r="J5" i="1"/>
  <c r="H5" i="1"/>
  <c r="F5" i="1"/>
  <c r="E5" i="1"/>
  <c r="D5" i="1"/>
  <c r="C5" i="1"/>
  <c r="B5" i="1"/>
  <c r="A5" i="1"/>
  <c r="K16" i="1"/>
  <c r="J16" i="1"/>
  <c r="H16" i="1"/>
  <c r="F16" i="1"/>
  <c r="E16" i="1"/>
  <c r="D16" i="1"/>
  <c r="C16" i="1"/>
  <c r="B16" i="1"/>
  <c r="A16" i="1"/>
  <c r="K34" i="1"/>
  <c r="J34" i="1"/>
  <c r="H34" i="1"/>
  <c r="F34" i="1"/>
  <c r="E34" i="1"/>
  <c r="D34" i="1"/>
  <c r="C34" i="1"/>
  <c r="B34" i="1"/>
  <c r="A34" i="1"/>
  <c r="K15" i="1"/>
  <c r="J15" i="1"/>
  <c r="H15" i="1"/>
  <c r="F15" i="1"/>
  <c r="E15" i="1"/>
  <c r="D15" i="1"/>
  <c r="C15" i="1"/>
  <c r="B15" i="1"/>
  <c r="A15" i="1"/>
  <c r="K14" i="1"/>
  <c r="J14" i="1"/>
  <c r="H14" i="1"/>
  <c r="F14" i="1"/>
  <c r="E14" i="1"/>
  <c r="D14" i="1"/>
  <c r="C14" i="1"/>
  <c r="B14" i="1"/>
  <c r="A14" i="1"/>
  <c r="K4" i="1"/>
  <c r="J4" i="1"/>
  <c r="H4" i="1"/>
  <c r="F4" i="1"/>
  <c r="E4" i="1"/>
  <c r="D4" i="1"/>
  <c r="C4" i="1"/>
  <c r="B4" i="1"/>
  <c r="A4" i="1"/>
  <c r="K62" i="1"/>
  <c r="J62" i="1"/>
  <c r="H62" i="1"/>
  <c r="F62" i="1"/>
  <c r="E62" i="1"/>
  <c r="D62" i="1"/>
  <c r="C62" i="1"/>
  <c r="B62" i="1"/>
  <c r="A62" i="1"/>
  <c r="K25" i="1"/>
  <c r="J25" i="1"/>
  <c r="H25" i="1"/>
  <c r="F25" i="1"/>
  <c r="E25" i="1"/>
  <c r="D25" i="1"/>
  <c r="C25" i="1"/>
  <c r="B25" i="1"/>
  <c r="A25" i="1"/>
  <c r="K11" i="1"/>
  <c r="J11" i="1"/>
  <c r="H11" i="1"/>
  <c r="F11" i="1"/>
  <c r="E11" i="1"/>
  <c r="D11" i="1"/>
  <c r="C11" i="1"/>
  <c r="B11" i="1"/>
  <c r="A11" i="1"/>
  <c r="K10" i="1"/>
  <c r="J10" i="1"/>
  <c r="H10" i="1"/>
  <c r="F10" i="1"/>
  <c r="E10" i="1"/>
  <c r="D10" i="1"/>
  <c r="C10" i="1"/>
  <c r="B10" i="1"/>
  <c r="A10" i="1"/>
  <c r="K13" i="1"/>
  <c r="J13" i="1"/>
  <c r="H13" i="1"/>
  <c r="F13" i="1"/>
  <c r="E13" i="1"/>
  <c r="D13" i="1"/>
  <c r="C13" i="1"/>
  <c r="B13" i="1"/>
  <c r="A13" i="1"/>
  <c r="K17" i="1"/>
  <c r="J17" i="1"/>
  <c r="H17" i="1"/>
  <c r="F17" i="1"/>
  <c r="E17" i="1"/>
  <c r="D17" i="1"/>
  <c r="C17" i="1"/>
  <c r="B17" i="1"/>
  <c r="A17" i="1"/>
  <c r="K24" i="1"/>
  <c r="J24" i="1"/>
  <c r="H24" i="1"/>
  <c r="F24" i="1"/>
  <c r="E24" i="1"/>
  <c r="D24" i="1"/>
  <c r="C24" i="1"/>
  <c r="B24" i="1"/>
  <c r="A24" i="1"/>
  <c r="K23" i="1"/>
  <c r="J23" i="1"/>
  <c r="H23" i="1"/>
  <c r="F23" i="1"/>
  <c r="E23" i="1"/>
  <c r="D23" i="1"/>
  <c r="C23" i="1"/>
  <c r="B23" i="1"/>
  <c r="A23" i="1"/>
  <c r="K30" i="1"/>
  <c r="J30" i="1"/>
  <c r="H30" i="1"/>
  <c r="F30" i="1"/>
  <c r="E30" i="1"/>
  <c r="D30" i="1"/>
  <c r="C30" i="1"/>
  <c r="B30" i="1"/>
  <c r="A30" i="1"/>
  <c r="K12" i="1"/>
  <c r="J12" i="1"/>
  <c r="H12" i="1"/>
  <c r="F12" i="1"/>
  <c r="E12" i="1"/>
  <c r="D12" i="1"/>
  <c r="C12" i="1"/>
  <c r="B12" i="1"/>
  <c r="A12" i="1"/>
  <c r="K67" i="1"/>
  <c r="J67" i="1"/>
  <c r="H67" i="1"/>
  <c r="F67" i="1"/>
  <c r="E67" i="1"/>
  <c r="C67" i="1"/>
  <c r="B67" i="1"/>
  <c r="A67" i="1"/>
  <c r="K3" i="1"/>
  <c r="J3" i="1"/>
  <c r="H3" i="1"/>
  <c r="F3" i="1"/>
  <c r="E3" i="1"/>
  <c r="D3" i="1"/>
  <c r="C3" i="1"/>
  <c r="B3" i="1"/>
  <c r="A3" i="1"/>
  <c r="K66" i="1"/>
  <c r="J66" i="1"/>
  <c r="H66" i="1"/>
  <c r="F66" i="1"/>
  <c r="E66" i="1"/>
  <c r="D66" i="1"/>
  <c r="C66" i="1"/>
  <c r="B66" i="1"/>
  <c r="A66" i="1"/>
  <c r="K29" i="1"/>
  <c r="J29" i="1"/>
  <c r="H29" i="1"/>
  <c r="F29" i="1"/>
  <c r="E29" i="1"/>
  <c r="D29" i="1"/>
  <c r="C29" i="1"/>
  <c r="B29" i="1"/>
  <c r="A29" i="1"/>
  <c r="K65" i="1"/>
  <c r="J65" i="1"/>
  <c r="H65" i="1"/>
  <c r="F65" i="1"/>
  <c r="E65" i="1"/>
  <c r="D65" i="1"/>
  <c r="C65" i="1"/>
  <c r="B65" i="1"/>
  <c r="A65" i="1"/>
  <c r="K64" i="1"/>
  <c r="J64" i="1"/>
  <c r="H64" i="1"/>
  <c r="F64" i="1"/>
  <c r="E64" i="1"/>
  <c r="D64" i="1"/>
  <c r="C64" i="1"/>
  <c r="B64" i="1"/>
  <c r="A64" i="1"/>
  <c r="K61" i="1"/>
  <c r="J61" i="1"/>
  <c r="H61" i="1"/>
  <c r="F61" i="1"/>
  <c r="E61" i="1"/>
  <c r="D61" i="1"/>
  <c r="C61" i="1"/>
  <c r="B61" i="1"/>
  <c r="A61" i="1"/>
  <c r="K28" i="1"/>
  <c r="J28" i="1"/>
  <c r="H28" i="1"/>
  <c r="F28" i="1"/>
  <c r="E28" i="1"/>
  <c r="D28" i="1"/>
  <c r="C28" i="1"/>
  <c r="B28" i="1"/>
  <c r="A28" i="1"/>
  <c r="K60" i="1"/>
  <c r="J60" i="1"/>
  <c r="H60" i="1"/>
  <c r="F60" i="1"/>
  <c r="E60" i="1"/>
  <c r="D60" i="1"/>
  <c r="C60" i="1"/>
  <c r="B60" i="1"/>
  <c r="A60" i="1"/>
  <c r="K9" i="1"/>
  <c r="J9" i="1"/>
  <c r="H9" i="1"/>
  <c r="F9" i="1"/>
  <c r="E9" i="1"/>
  <c r="D9" i="1"/>
  <c r="C9" i="1"/>
  <c r="B9" i="1"/>
  <c r="A9" i="1"/>
  <c r="K59" i="1"/>
  <c r="J59" i="1"/>
  <c r="H59" i="1"/>
  <c r="F59" i="1"/>
  <c r="E59" i="1"/>
  <c r="D59" i="1"/>
  <c r="C59" i="1"/>
  <c r="B59" i="1"/>
  <c r="A59" i="1"/>
  <c r="K2" i="1"/>
  <c r="J2" i="1"/>
  <c r="H2" i="1"/>
  <c r="F2" i="1"/>
  <c r="E2" i="1"/>
  <c r="D2" i="1"/>
  <c r="C2" i="1"/>
  <c r="B2" i="1"/>
  <c r="A2" i="1"/>
  <c r="K33" i="1"/>
  <c r="J33" i="1"/>
  <c r="H33" i="1"/>
  <c r="F33" i="1"/>
  <c r="E33" i="1"/>
  <c r="D33" i="1"/>
  <c r="C33" i="1"/>
  <c r="B33" i="1"/>
  <c r="A33" i="1"/>
</calcChain>
</file>

<file path=xl/sharedStrings.xml><?xml version="1.0" encoding="utf-8"?>
<sst xmlns="http://schemas.openxmlformats.org/spreadsheetml/2006/main" count="7349" uniqueCount="3145">
  <si>
    <t>Paper number</t>
  </si>
  <si>
    <t>Title</t>
  </si>
  <si>
    <t>Abstract</t>
  </si>
  <si>
    <t>Authors Names</t>
  </si>
  <si>
    <t>Presenters Name</t>
  </si>
  <si>
    <t>Type of Presentation</t>
  </si>
  <si>
    <t>Attendance Type</t>
  </si>
  <si>
    <t>Room Location</t>
  </si>
  <si>
    <t>Session</t>
  </si>
  <si>
    <t>Session Date</t>
  </si>
  <si>
    <t>Session time</t>
  </si>
  <si>
    <t>3005-CL</t>
  </si>
  <si>
    <t>Multimodal OXYmorons: A Comprehensive Introduction and Computational Analysis Using a Dataset of Oxymoronic Memes in Italian and Spanish</t>
  </si>
  <si>
    <t>This paper introduces the concept of multimodal oxymorons. Multimodal oxymorons extend the traditional oxymoron theory by constructing and communicating meaning through the interplay of multiple modalities (such as visual and textual) rather than relying solely on language. The paper argues that multimodal oxymorons are central mechanisms of meaning-making in contemporary communication, as evidenced by the use of memes as an example. While textual oxymorons have long been the subject of analysis in order to ascertain their role in shaping thought and meaning, multimodal oxymorons demonstrate how human cognitive process transcends linguistic boundaries, integrating different modalities (e.g., visual) in order to convey complex ideas. To encourage further study, we present a curated multilingual dataset of Multimodal OXYmoron (MOXY), which can be used as a foundation for further analysis and experimentation. Furthermore, we propose a methodical approach for the identification of multimodal oxymorons along with a pipeline for automated generation. Through illustrative examples and a detailed methodology, this work establishes a comprehensive framework for understanding, identifying, and generating multimodal oxymorons, paving the way for advancements in computational linguistics, artificial intelligence, and figurative language studies.</t>
  </si>
  <si>
    <t>Giulia Rizzi, Francesca Masini, Paolo Rosso, Elisabetta Fersini, Eliana Di Palma</t>
  </si>
  <si>
    <t>Eliana Di Palma</t>
  </si>
  <si>
    <t>Oral</t>
  </si>
  <si>
    <t>In-person</t>
  </si>
  <si>
    <t>Pavillon  DE RABAT</t>
  </si>
  <si>
    <t>Session 5: Oral/Posters D</t>
  </si>
  <si>
    <t>Thur. Mar 26</t>
  </si>
  <si>
    <t>09:00-10:30</t>
  </si>
  <si>
    <t>3052-CL</t>
  </si>
  <si>
    <t>How Can We Effectively Expand the Vocabulary of LLMs with 0.01GB of Target Language Text?</t>
  </si>
  <si>
    <t>Large language models (LLMs) have shown remarkable capabilities in many languages beyond English. Yet, LLMs require more inference steps when generating non-English text due to their reliance on English-centric tokenizers and vocabulary, resulting in higher usage costs to non-English speakers. Vocabulary expansion with target language tokens is a widely used cross-lingual vocabulary adaptation approach to remedy this issue. Despite its effectiveness in inference speedup, previous work on vocabulary expansion has focused on high-resource settings assuming access to a substantial amount of target language data to effectively initialize the embeddings of the new tokens and adapt the LLM to the target language. However, vocabulary expansion in low-resource settings has yet to be explored. In this article, we investigate vocabulary expansion in low-resource settings by considering embedding initialization methods and continual pre-training strategies. Through extensive experiments across typologically diverse languages, tasks and models, we establish a set of strategies to perform vocabulary expansion for faster inference, while striving to maintain competitive downstream performance to baselines. This is achieved with only 30K sentences (~0.01GB text data) from the target language.</t>
  </si>
  <si>
    <t>Atsuki Yamaguchi, Aline Villavicencio, Nikolaos Aletras</t>
  </si>
  <si>
    <t>Atsuki Yamaguchi</t>
  </si>
  <si>
    <t>Poster</t>
  </si>
  <si>
    <t>POSTER HALL</t>
  </si>
  <si>
    <t>Session 10: Oral/Poster G</t>
  </si>
  <si>
    <t>Fri. Mar 27</t>
  </si>
  <si>
    <t>3081-CL</t>
  </si>
  <si>
    <t>Training and Evaluating with Human Label Variation: An Empirical Study</t>
  </si>
  <si>
    <t>Human label variation (HLV) challenges the standard assumption that a labelled instance has a single ground truth, instead embracing the natural variation in human annotation to train and evaluate models. While various training methods and metrics for HLV have been proposed, it is still unclear which methods and metrics perform best in what settings. We propose new evaluation metrics for HLV leveraging fuzzy set theory. Since these new proposed metrics are differentiable, we then in turn experiment with employing these metrics as training objectives. We conduct an extensive study over 6 HLV datasets testing 14 training methods and 6 evaluation metrics. We find that training on either disaggregated annotations or soft labels performs best across metrics, outperforming training using the proposed training objectives with differentiable metrics. We also show that our proposed soft micro F1 score is one of the best metrics for HLV data.</t>
  </si>
  <si>
    <t>Kemal Kurniawan, Meladel Mistica, Timothy Baldwin, Jey Han Lau</t>
  </si>
  <si>
    <t>Kemal Kurniawan</t>
  </si>
  <si>
    <t>SALLE  LA PALMERAIE</t>
  </si>
  <si>
    <t>3155-CL</t>
  </si>
  <si>
    <t>The Quest for the Right Mediator: Surveying Mechanistic Interpretability for NLP Through the Lens of Causal Mediation Analysis</t>
  </si>
  <si>
    <t>Interpretability provides a toolset for understanding how and why language models behave in certain ways. However, there is little unity in the field: most studies employ ad-hoc evaluations and do not share theoretical foundations, making it difficult to measure progress and compare the pros and cons of different techniques. Furthermore, while mechanistic understanding is frequently discussed, the basic causal units underlying these mechanisms are often not explicitly defined. In this article, we propose a perspective on interpretability research grounded in causal mediation analysis. Specifically, we describe the history and current state of interpretability taxonomized according to the types of causal units (mediators) employed, as well as methods used to search over mediators. We discuss the pros and cons of each mediator, providing insights as to when particular kinds of mediators and search methods are most appropriate. We argue that this framing yields a more cohesive narrative of the field and helps researchers select appropriate methods based on their research objective. Our analysis yields actionable recommendations for future work, including the discovery of new mediators and the development of standardized evaluations tailored to these goals.</t>
  </si>
  <si>
    <t>Aaron Mueller, Jannik Brinkmann, Millicent Li, Samuel Marks, Koyena Pal, Nikhil Prakash, Can Rager, Aruna Sankaranarayanan, Arnab Sen Sharma, Jiuding Sun, Eric Todd, David Bau, Yonatan Belinkov</t>
  </si>
  <si>
    <t>Aaron Mueller</t>
  </si>
  <si>
    <t>SALLE  LE RIAD</t>
  </si>
  <si>
    <t>Session 11: Oral/Poster H</t>
  </si>
  <si>
    <t>11:00-12:30</t>
  </si>
  <si>
    <t>3233-CL</t>
  </si>
  <si>
    <t>LLMs and Cultural Values: The Impact of Prompt Language and Explicit Cultural Framing</t>
  </si>
  <si>
    <t>Large Language Models (LLMs) are rapidly being adopted by users across the globe, who interact with them in a diverse range of languages. At the same time, there are well-documented imbalances in the training data and optimisation objectives of this technology, raising doubts as to whether LLMs can accurately represent the cultural diversity of their broad user base. In this study, we look at LLMs and cultural values in particular, and examine how prompt language and cultural framing influence model responses and their alignment with human values in different countries.We do so by probing 10 LLMs with 63 items from the Hofstede Values Survey Module and World Values Survey, translated into 11 languages, and formulated as prompts with and without different explicit cultural perspectives.; Our study confirms that both prompt language and cultural perspective produce variation in LLM outputs, but with an important caveat: While targeted prompting can, to a certain extent, steer LLM responses in the direction of the predominant values of the corresponding countries, it does not overcome the modelsâ systematic bias toward the values associated with a restricted set of countries in our dataset: the Netherlands, Germany, the United States, and Japan. All tested models, regardless of their origin, exhibit remarkably similar patterns: They produce fairly neutral responses on most topics, with selective progressive stances on issues such as social tolerance. Alignment with cultural values of human respondents is improved more with an explicit cultural perspective than with a targeted prompt language. Unexpectedly, combining both approaches is no more effective than cultural framing with an English prompt. These findings reveal that LLMs occupy an uncomfortable middle ground: They are responsive enough to changes in prompts to produce variation, but they are also too firmly anchored to specific cultural defaults to adequately represent cultural diversity.</t>
  </si>
  <si>
    <t>Ayla Rigouts Terryn, Bram Bulte</t>
  </si>
  <si>
    <t>Ayla Rigouts Terryn</t>
  </si>
  <si>
    <t>Session 2: Oral/Posters A</t>
  </si>
  <si>
    <t>Wed. Mar 25</t>
  </si>
  <si>
    <t>11:30-13:00</t>
  </si>
  <si>
    <t>7743-TACL</t>
  </si>
  <si>
    <t>Modelling analogies and analogical reasoning: connecting cognitive science theory and NLP research.</t>
  </si>
  <si>
    <t>Analogical reasoning is an essential aspect of human cognition. In this paper, we summarize key theory about the processes underlying analogical reasoning from the cognitive science literature and relate it to current research in natural language processing. While these processes can be easily linked to concepts in NLP, they are generally not viewed through a cognitive lens. Furthermore, we show how these notions are relevant for several major challenges in NLP research, not directly related to analogy solving. This may guide researchers to better optimize relational understanding in text, as opposed to relying heavily on entity-level similarity.</t>
  </si>
  <si>
    <t>Molly Petersen, Claire Stevenson, Lonneke van der Plas</t>
  </si>
  <si>
    <t>Lonneke van der Plas</t>
  </si>
  <si>
    <t>Session 4: Oral/Posters C</t>
  </si>
  <si>
    <t>16:30-18:00</t>
  </si>
  <si>
    <t>8207-TACL</t>
  </si>
  <si>
    <t>Fine-Grained Reward Optimization for Machine Translation using Error Severity Mappings</t>
  </si>
  <si>
    <t>Reinforcement learning (RL) has been proven to be an effective and robust method for training neural machine translation systems, especially when paired with powerful reward models that accurately assess translation quality.
However, most research has focused on RL methods that use sentence-level feedback, leading to inefficient learning signals
due to the reward sparsity problem – the model receives a single score for the entire sentence.
To address this, we propose a novel approach that leverages fine-grained, token-level quality assessments along with error severity levels using RL methods. Specifically, we use xCOMET, a state-of-the-art quality estimation system, as our token-level reward model.
We conduct experiments on small and large translation datasets with standard encoder-decoder and large language models-based machine translation systems, comparing the impact of sentence-level versus fine-grained reward signals on translation quality.
Our results show that training with token-level rewards improves translation quality across language pairs over baselines according to both automatic and human evaluation. Furthermore, token-level reward optimization improves training stability, evidenced by a steady increase in mean rewards over training epochs.</t>
  </si>
  <si>
    <t>Miguel Moura Ramos, Tomás Duarte de Almeida, Daniel Rocha Vareta, Filipe Parrado de Azevedo, Sweta Agrawal, Patrick Santos Fernandes, André Filipe Torres Martins</t>
  </si>
  <si>
    <t>Miguel Moura Ramos</t>
  </si>
  <si>
    <t>Session 3: Oral/Posters B</t>
  </si>
  <si>
    <t>14:30-16:00</t>
  </si>
  <si>
    <t>8231-TACL</t>
  </si>
  <si>
    <t>Aligned Probing: Relating Toxic Behavior and Model Internals</t>
  </si>
  <si>
    <t>We introduce aligned probing, a novel interpretability framework that aligns the behavior of language models (LMs), based on their outputs, and their internal representations (internals). Using this framework, we examine over 20 OLMo, Llama, and Mistral models, bridging behavioral and internal perspectives for toxicity for the first time. Our results show that LMs strongly encode information about the toxicity level of inputs and subsequent outputs, particularly in lower layers. Focusing on how unique LMs differ offers both correlative and causal evidence that they generate less toxic output when strongly encoding information about the input toxicity. We also highlight the heterogeneity of toxicity, as model behavior and internals vary across unique attributes such as Threat. Finally, four case studies analyzing detoxification, multi-prompt evaluations, model quantization, and pre-training dynamics underline the practical impact of aligned probing with further concrete insights. Our findings contribute to a more holistic understanding of LMs, both within and beyond the context of toxicity.</t>
  </si>
  <si>
    <t>Andreas Waldis, Vagrant Gautam, Anne Lauscher, Dietrich Klakow, Iryna Gurevych</t>
  </si>
  <si>
    <t>Andreas Waldis</t>
  </si>
  <si>
    <t>8559-TACL</t>
  </si>
  <si>
    <t>Ev2R: Evaluating Evidence Retrieval in Automated Fact-Checking</t>
  </si>
  <si>
    <t>Current automated fact-checking (AFC) approaches typically evaluate evidence either implicitly via the predicted verdicts
or through exact matches with predefined closed knowledge sources, such as Wikipedia. However, these methods are
limited due to reliance on evaluation metrics originally designed for other purposes and constraints from closed knowledge
sources. In this work, we introduce Ev2R, a weighted scorer that combines the strengths of reference-based evaluation and verdict-
level proxy scoring. Ev2R jointly assesses how well the evidence aligns with gold references and how reliably it supports the verdict, addressing the shortcomings of prior methods. We evaluate Ev2R against three categories of evidence evaluation approaches: reference-based, proxy-reference, and reference-less baselines. Assessments against human ratings and adversarial tests demonstrate that Ev2R consistently outperforms existing scoring approaches in accuracy and robustness. It achieves stronger correlation with human judgments and greater robustness to adversarial perturbations, establishing it as a reliable metric for evidence evaluation in AFC.</t>
  </si>
  <si>
    <t>Mubashara Akhtar; Michael Schlichtkrull; Andreas Vlachos</t>
  </si>
  <si>
    <t>Andreas Vlachos</t>
  </si>
  <si>
    <t>9193-TACL</t>
  </si>
  <si>
    <t>Automatic Reviewers Fail to Detect Faulty Reasoning in Research Papers: A New Counterfactual Evaluation Framework</t>
  </si>
  <si>
    <t>Large Language Models (LLMs) have great potential to accelerate and support scholarly peer review and are increasingly used as fully automatic review generators (ARGs). However, potential biases and systematic errors may pose significant risks to scientific integrity; understanding the specific capabilities and limitations of state-of-the-art ARGs is essential. We focus on a core reviewing skill that underpins high-quality peer review: detecting faulty research logic. This involves evaluating the internal consistency between a paper’s results, interpretations, and claims. We present a fully automated counterfactual evaluation framework that isolates and tests this skill under controlled conditions. Testing a range of ARG approaches, we find that, contrary to expectation, flaws in research logic have no significant effect on their output reviews. Based on our findings, we derive three actionable recommendations for future work and release our counterfactual dataset and evaluation framework publicly.</t>
  </si>
  <si>
    <t>Nils Dycke, Iryna Gurevych</t>
  </si>
  <si>
    <t>Nils Dycke</t>
  </si>
  <si>
    <t>14-MAIN</t>
  </si>
  <si>
    <t>LM-Lexicon: Improving Definition Modeling via Harmonizing Semantic Experts</t>
  </si>
  <si>
    <t>We introduce LM-Lexicon, an innovative definition modeling approach that incorporates data clustering, semantic expert learning, and model merging using a sparse mixture-of-experts architecture. By decomposing the definition modeling task into specialized semantic domains, where small language models are trained as domain experts, LM-Lexicon achieves substantial improvements (+7% BLEU score compared with the prior state-of-the-art model) over existing methods on five widely used benchmarks. Empirically, we demonstrate that 1) the clustering strategy enables fine-grained expert specialization with nearly 10% improvement in definition quality; 2) the semantic-aware domain-level routing mechanism achieves higher expert efficacy (+1%) than conventional token-level routing; and 3) further performance gains can be obtained through test-time compute and semantic expert scaling. Our work advances definition modeling while providing insights into the development of efficient language models for semantic-intensive applications. The code, data, and models will be made publicly available upon completion of the review process.</t>
  </si>
  <si>
    <t>Yang Liu; Jiaye Yang; Weikang Li; Jiahui Liang; Yang Li; Lingyong Yan</t>
  </si>
  <si>
    <t>Yang Liu</t>
  </si>
  <si>
    <t>Session 6: Oral/Posters E</t>
  </si>
  <si>
    <t>15-MAIN</t>
  </si>
  <si>
    <t>Teams of LLM Agents can Exploit Zero-Day Vulnerabilities</t>
  </si>
  <si>
    <t>LLM agents have become increasingly sophisticated, especially in the realm of cybersecurity. Researchers have shown that LLM agents can exploit real-world vulnerabilities when given a description of the vulnerability and toy capture-the-flag problems. However, these agents still perform poorly on real-world vulnerabilities that are unknown to the agent ahead of time (zero-day vulnerabilities). In this work, we show that teams of LLM agents can exploit real-world, zero-day vulnerabilities. Prior agents struggle with exploring many different vulnerabilities and long-range planning when used alone. To resolve this, we introduce HPTSA, a system of agents with a planning agent that can launch subagents. The planning agent explores the system and determines which subagents to call, resolving long-term planning issues when trying different vulnerabilities. We construct a benchmark of 14 real-world vulnerabilities and show that our team of agents improve over prior agent frameworks by up to 4.3X.</t>
  </si>
  <si>
    <t>Yuxuan Zhu; Antony Kellermann; Akul Gupta; Philip Li; Richard Fang; Rohan Bindu; Daniel Kang</t>
  </si>
  <si>
    <t>Philip Li</t>
  </si>
  <si>
    <t>37-MAIN</t>
  </si>
  <si>
    <t>Can Reasoning Help Large Language Models Capture Human Annotator Disagreement?</t>
  </si>
  <si>
    <t>Variation in human annotation (i.e., disagreements) is common in NLP, often reflecting important information like task subjectivity and sample ambiguity. Modeling this variation is important for applications that are sensitive to such information. Although RLVR-style reasoning (Reinforcement Learning with Verifiable Rewards) has improved Large Language Model (LLM) performance on many tasks, it remains unclear whether such reasoning enables LLMs to capture informative variation in human annotation. In this work, we evaluate the influence of different reasoning settings on LLM disagreement modeling. We systematically evaluate each reasoning setting across model sizes, distribution expression methods, and steering methods, resulting in 60 experimental setups across 3 tasks. Surprisingly, our results show that RLVR-style reasoning degrades performance in disagreement modeling, while naive Chain-of-Thought (CoT) reasoning improves the performance of RLHF LLMs (RL from human feedback). These findings underscore the potential risk of replacing human annotators with reasoning LLMs, especially when disagreements are important.</t>
  </si>
  <si>
    <t>Jingwei Ni; Yu Fan; VilГ©m Zouhar; Donya Rooein; Alexander Miserlis Hoyle; Mrinmaya Sachan; Markus Leippold; Dirk Hovy; Elliott Ash</t>
  </si>
  <si>
    <t>Jingwei Ni</t>
  </si>
  <si>
    <t>38-MAIN</t>
  </si>
  <si>
    <t>Early-Exit and Instant Confidence Translation Quality Estimation</t>
  </si>
  <si>
    <t>Quality estimation is omnipresent in machine translation, for both evaluation and generation. Unfortunately, quality estimation models are often opaque and computationally expensive, making them impractical to be part of large-scale pipelines. In this work, we tackle two connected challenges: (1) reducing the cost of quality estimation at scale, and (2) developing an inexpensive uncertainty estimation method for quality estimation. To address the latter, we introduce Instant Confidence COMET, an uncertainty-aware quality estimation model that matches the performance of previous approaches at a fraction of their costs. We extend this to Early-Exit COMET, a quality estimation model that can compute quality scores and associated confidences already at early model layers, allowing us to early-exit computations and reduce evaluation costs. We also apply our model to machine translation reranking. We combine Early-Exit COMET with an upper confidence bound bandit algorithm to find the best candidate from a large pool without having to run the full evaluation model on all candidates. In both cases (evaluation and reranking) our methods reduce the required compute by 50% with very little degradation in performance. Finally, we show how Instant Confidence COMET can be used to decide which translations a human evaluator should score rather than relying on the COMET score.</t>
  </si>
  <si>
    <t>VilГ©m Zouhar; Maike ZГјfle; Beni Egressy; Julius Cheng; Mrinmaya Sachan; Jan Niehues</t>
  </si>
  <si>
    <t>Vilém Zouhar</t>
  </si>
  <si>
    <t>50-MAIN</t>
  </si>
  <si>
    <t>GRITHopper: Decomposition-Free Multi-Hop Dense Retrieval</t>
  </si>
  <si>
    <t>Decomposition-based multi-hop retrieval methods rely on many autoregressive steps to break down complex queries, which breaks end-to-end differentiability and is computationally expensive. Decomposition-free methods tackle this, but current approaches struggle with longer multi-hop problems and generalization to out-of-distribution data. To address these challenges, we introduce GRITHopper-7B, a novel multi-hop dense retrieval model that achieves state-of-the-art performance on both in-distribution and out-of-distribution benchmarks. GRITHopper-7B combines generative and representational instruction tuning by integrating causal language modeling with dense retrieval training. Through controlled studies, we find that incorporating additional context after the retrieval process, referred to as post-retrieval language modeling, enhances dense retrieval performance. By including elements such as final answers during training, the model learns to better contextualize and retrieve relevant information. GRITHopper-7B offers a robust, scalable, and generalizable solution for multi-hop dense retrieval, and we release it to the community for future research and applications requiring complex reasoning and retrieval capabilities.</t>
  </si>
  <si>
    <t>Justus-Jonas Erker; Nils Reimers; Iryna Gurevych</t>
  </si>
  <si>
    <t>Justus-Jonas Erker</t>
  </si>
  <si>
    <t>53-MAIN</t>
  </si>
  <si>
    <t>SCoPE VLM: Selective Context Processing for Efficient Document Navigation in Vision-Language Models</t>
  </si>
  <si>
    <t>Understanding long-context visual information remains a fundamental challenge for vision-language models, particularly in agentic tasks such as GUI control and web navigation. While web pages and GUI environments are inherently structured documents, current VLMs typically neglect decision-oriented document understanding in their training objectives. Existing approaches primarily extend visual embeddings to process long, high-resolution inputs, but these methods are memory-intensive and impractical for locally deployable solutions. To address these issues, we propose SCoPE VLM, a document navigation expert that leverages a novel Chain of Scroll mechanism to selectively and recursively navigate documents, focusing exclusively on relevant segments. We introduce a dedicated data generation pipeline to construct informative Chain of Scroll trajectories and Episodic Group Relative Policy Optimization, a tailored reinforcement learning method to reduce the gap between training and inference. Our method substantially reduces memory usage and effectively models human-like reading behaviors. To the best of our knowledge, SCoPE VLM is the first framework to explicitly model agentic reading patterns in multi-page document question answering, advancing the capabilities of multimodal agents.</t>
  </si>
  <si>
    <t>Gyubeum Lim; Yemo Koo; Vijay Krishna Madisetti</t>
  </si>
  <si>
    <t>Gyubeum Lim</t>
  </si>
  <si>
    <t>58-MAIN</t>
  </si>
  <si>
    <t>T2-RAGBench: Text-and-Table Aware Retrieval-Augmented Generation</t>
  </si>
  <si>
    <t>Since many real-world documents combine textual and tabular data, robust Retrieval Augmented Generation (RAG) systems are essential for effectively accessing and analyzing such content to support complex reasoning tasks. Therefore, this paper introduces $\textbf{$T^2$-RAGBench}$, a benchmark comprising $\textbf{23,088}$ question-context-answer triples, designed to evaluate RAG methods on real-world text-and-table data. Unlike typical QA datasets that operate under Oracle-Context settings, $\textbf{$T^2$-RAGBench}$ challenges models to first retrieve the correct context before conducting numerical reasoning. Existing QA datasets containing text-and-table data typically contain context-dependent questions, which may yield multiple correct answers depending on the provided context. To address this, we transform SOTA datasets into a context-independent format, validated by experts as 91.3% context-independent questions, enabling reliable RAG evaluation. Our comprehensive evaluation identifies $\textit{Hybrid BM25}$ , a technique that combines dense and sparse vectors, as the most effective approach for text-and-table data. However, results demonstrate that $\textbf{$T^2$-RAGBench}$ remains challenging even for SOTA LLMs and RAG methods. Further ablation studies examine the impact of embedding models and corpus size on retrieval performance. $\textbf{$T^2$-RAGBench}$ provides a realistic and rigorous benchmark for existing RAG methods on text-and-table data. Code and dataset are available online: https://anonymous.4open.science/r/g4kmu-paper-D5F8/README.md.</t>
  </si>
  <si>
    <t>Jan Strich; Enes Kutay Isgorur; Maximilian Trescher; Chris Biemann; Martin Semmann</t>
  </si>
  <si>
    <t>Jan Strich</t>
  </si>
  <si>
    <t>Session 8: Oral/Posters F</t>
  </si>
  <si>
    <t>60-MAIN</t>
  </si>
  <si>
    <t>Hierarchical Text Classification with LLM-Refined Taxonomies</t>
  </si>
  <si>
    <t>Hierarchical text classification (HTC) depends on taxonomies that organize labels into structured hierarchies. However, many real-world taxonomies introduce ambiguities, such as identical leaf names under similar parent nodes, which prevent language models (LMs) from learning clear decision boundaries. In this paper, we present TaxMorph, a framework that uses large language models (LLMs) to transform entire taxonomies through operations such as renaming, merging, splitting, and reordering. Unlike prior work, our method revises the full hierarchy to better match the semantics encoded by LMs. Experiments across three HTC benchmarks show that LLM-refined taxonomies consistently outperform human-curated ones in various settings up to +2.9pp. in F1. To better understand these improvements, we compare how well LMs can assign leaf nodes to parent nodes and vice versa across human-curated and LLM-refined taxonomies. We find that human-curated taxonomies lead to more easily separable clusters in embedding space. However, the LLM-refined taxonomies align more closely with the model's actual confusion patterns during classification. In other words, even though they are harder to separate, they better reflect the modelвЂ™s inductive biases. These findings suggest that LLM-guided refinement creates taxonomies that are more compatible with how models learn, improving HTC performance.</t>
  </si>
  <si>
    <t>Jonas Golde; Nicolaas Paul Jedema; RaviKiran Krishnan; Phong Le</t>
  </si>
  <si>
    <t>Jonas Golde</t>
  </si>
  <si>
    <t>SALLE  WALILI</t>
  </si>
  <si>
    <t>70-MAIN</t>
  </si>
  <si>
    <t>Understanding Jailbreak Success: A Study of Latent Space Dynamics in Large Language Models</t>
  </si>
  <si>
    <t>Conversational large language models are trained to refuse to answer harmful questions. However, emergent jailbreaking techniques can still elicit unsafe outputs, presenting an ongoing challenge for model alignment. This paper aims to deepen our understanding of how different jailbreak types circumvent safeguards by analyzing model activations on different jailbreak inputs. We find that it is possible to extract a jailbreak vector from a single class of jailbreaks that works to mitigate jailbreak effectiveness from other, semantically-dissimilar classes. This suggests that diverse jailbreaks may exploit a common internal mechanism. We investigate a potential common mechanism of harmfulness feature suppression, and find evidence that effective jailbreaks noticeably reduce a modelвЂ™s perception of prompt harmfulness. These insights pave the way for developing more robust jailbreak countermeasures and lay the groundwork for a deeper, mechanistic understanding of jailbreak dynamics in language models.</t>
  </si>
  <si>
    <t>Sarah Ball; Frauke Kreuter; Nina Panickssery</t>
  </si>
  <si>
    <t>Sarah Ball</t>
  </si>
  <si>
    <t>73-MAIN</t>
  </si>
  <si>
    <t>Do Political Opinions Transfer Between Western Languages? An Analysis of Unaligned and Aligned Multilingual LLMs</t>
  </si>
  <si>
    <t>Public opinion surveys show cross-cultural differences in political opinions between socio-cultural contexts. However, there is no clear evidence whether these differences translate to cross-lingual differences in multilingual large language models (MLLMs). We analyze whether opinions transfer between languages or whether there are separate opinions for each language in MLLMs of various sizes across five Western languages. We evaluate MLLMs' opinions by prompting them to report their (dis)agreement with political statements from voting advice applications. To better understand the interaction between languages in the models, we evaluate them both before and after aligning them with more left or right views using direct preference optimization and English alignment data only. Our findings reveal that unaligned models show only very few significant cross-lingual differences in the political opinions they reflect. The political alignment shifts opinions almost uniformly across all five languages. We conclude that in Western language contexts, political opinions transfer between languages, demonstrating the challenges in achieving explicit socio-linguistic, cultural, and political alignment of MLLMs.</t>
  </si>
  <si>
    <t>Franziska Weeber; Tanise Ceron; Sebastian PadГі</t>
  </si>
  <si>
    <t>Franziska Weeber</t>
  </si>
  <si>
    <t>82-MAIN</t>
  </si>
  <si>
    <t>MULSUM: A Multimodal Summarization System with Vis-Aligner and Diversity-Aware Image Selection</t>
  </si>
  <si>
    <t>The abundance of multimodal news in digital form has intensified demand for systems that condense articles and images into concise, faithful digests. Yet most approaches simply conduct unimodal text summarization and attach the most-similar images with the text summary, which leads to redundancy both in processing visual content as well as in selection of images to complement the summary. We propose MULSUM, a two-step framework: (i) a Cross-Vis Aligner that projects image-level embeddings into a shared space and conditions a pre-trained LLM decoder to generate a visually informed text summary, and (ii) a Diversity-Aware Image Selector that, after the summary is produced, maximizes images-relevance to the summary while enforcing pairwise image diversity, yielding a compact, complementary visual set. Experimental results on the benchmarks MSMO (Multimodal Summarization with Multimodal Output) corpus show that MULSUM consistently outperforms strong baselines on automatic metrics such as ROUGE, while qualitative inspection shows that selected images act as explanatory evidence rather than ornamental add-ons. Human evaluation results shows that our diverse set of selected images was 13% more helpful than mere similarity-based image selection.</t>
  </si>
  <si>
    <t>Abid Ali; Diego Molla; Usman Naseem</t>
  </si>
  <si>
    <t>Abid Ali</t>
  </si>
  <si>
    <t>83-MAIN</t>
  </si>
  <si>
    <t>How Quantization Shapes Bias in Large Language Models</t>
  </si>
  <si>
    <t>This work presents a comprehensive evaluation of how quantization affects model bias, with particular attention to its impact on individual demographic subgroups. We focus on weight and activation quantization strategies and examine their effects across a broad range of bias types, including stereotypes, fairness, toxicity, and sentiment. We employ both probability- and generated text-based metrics across 13 benchmarks and evaluate models that differ in architecture family and reasoning ability. Our findings show that quantization has a nuanced impact on bias: while it can reduce model toxicity and does not significantly impact sentiment, it tends to slightly increase stereotypes and unfairness in generative tasks, especially under aggressive compression. These trends are generally consistent across demographic categories and subgroups, and model types, although their magnitude depends on the specific setting. Overall, our results highlight the importance of carefully balancing efficiency and ethical considerations when applying quantization in practice.</t>
  </si>
  <si>
    <t>Federico Marcuzzi; Xuefei Ning; Roy Schwartz; Iryna Gurevych</t>
  </si>
  <si>
    <t>Federico Marcuzzi</t>
  </si>
  <si>
    <t>85-MAIN</t>
  </si>
  <si>
    <t>If Probable, Then Acceptable? Understanding Conditional Acceptability Judgments in Large Language Models</t>
  </si>
  <si>
    <t>Conditional acceptability refers to how plausible a conditional statement is perceived to be. It plays an important role in communication and reasoning, as it influences how individuals interpret implications, assess arguments, and make decisions based on hypothetical scenarios. When humans evaluate how acceptable a conditional "If A, then B" is, their judgments are influenced by two main factors: the $\textit{conditional probability}$ of $B$ given $A$, and the $\textit{semantic relevance}$ of the antecedent $A$ given the consequent $B$ (i.e., whether $A$ meaningfully supports $B$). While prior work has examined how large language models (LLMs) draw inferences about conditional statements, it remains unclear how these models judge the $\textit{acceptability}$ of such statements. To address this gap, we present a comprehensive study of LLMs' conditional acceptability judgments across different model families, sizes, and prompting strategies. Using linear mixed-effects models and ANOVA tests, we find that models are sensitive to both conditional probability and semantic relevance$\textemdash{}$though to varying degrees depending on architecture and prompting style. A comparison with human data reveals that while LLMs incorporate probabilistic and semantic cues, they do so less consistently than humans. Notably, larger models do not necessarily align more closely with human judgments.</t>
  </si>
  <si>
    <t>Jasmin Orth; Philipp Mondorf; Barbara Plank</t>
  </si>
  <si>
    <t>Jasmin Orth</t>
  </si>
  <si>
    <t>SALLE  LE LIXUS</t>
  </si>
  <si>
    <t>88-MAIN</t>
  </si>
  <si>
    <t>The Dog the Cat Chased Stumped the Model: Measuring When Language Models Abandon Structure for Shortcuts</t>
  </si>
  <si>
    <t>When language models correctly parse "The cat that the dog chased meowed,'' are they analyzing syntax or simply familiar with dogs chasing cats? Despite extensive benchmarking, we lack methods to distinguish structural understanding from semantic pattern matching. We introduce **CenterBench**, a dataset of 9,720 comprehension questions on center-embedded sentences (like "The cat [that the dog chased] meowed'') where relative clauses nest recursively, creating processing demands from simple to deeply nested structures. Each sentence has a syntactically identical but semantically implausible counterpart (e.g., mailmen prescribe medicine, doctors deliver mail) and six comprehension questions testing surface understanding, syntactic dependencies, and causal reasoning. Testing six models reveals that performance gaps between plausible and implausible sentences widen systematically with complexity, with models showing median gaps up to 26.8 percentage points, quantifying when they abandon structural analysis for semantic associations. Notably, semantic plausibility harms performance on questions about resulting actions, where following causal relationships matters more than semantic coherence. Reasoning models improve accuracy while their traces expose semantic shortcuts, overthinking, and answer refusal. Unlike models whose plausibility advantage systematically widens with complexity, humans show variable semantic effects. CenterBench provides the first framework to identify when models shift from structural analysis to pattern matching.</t>
  </si>
  <si>
    <t>Sangmitra Madhusudan; Kaige Chen; Ali Emami</t>
  </si>
  <si>
    <t>Sangmitra Madhusudan</t>
  </si>
  <si>
    <t>89-MAIN</t>
  </si>
  <si>
    <t>Automated Screening of Antibacterial Nanoparticle Literature: Dataset Curation and Model Evaluation</t>
  </si>
  <si>
    <t>Antimicrobial resistance is a growing global health threat, driving interest in nanoparticle-based alternatives to conventional antibiotics. Inorganic nanoparticles with intrinsic antibacterial properties show significant promise; however, efficiently identifying relevant studies from the rapidly expanding literature remains a major challenge. This step is crucial for enabling computational approaches that aim to model and predict nanoparticle efficacy based on physicochemical and structural features. In this study, we explore the effectiveness of traditional machine learning and deep learning methods for classifying scientific abstracts in the domain of nanoparticle-based antimicrobial research. We introduce a novel, manually annotated corpus of 7,910 articles, curated to distinguish intrinsic antibacterial nanoparticles from studies focusing on drug carriers or surface-bound applications. Our comparative evaluation shows that a fine-tuned BERT model achieves the highest overall F1 score of 0.79 on the test set, while simpler models such as SVMs with TF-IDF features remain highly competitive, highlighting their utility in low-resource settings. The dataset and best-performing models are made publicly available to support future research in nanoparticle-based therapeutics and automated literature mining.</t>
  </si>
  <si>
    <t>Alperen Ozturk; Ећaziye BetГјl Г–zateЕџ; Sophia Bahar Root; Angela Violi; Nicholas Kotov; J. Scott VanEpps; Emine Sumeyra Turali Emre</t>
  </si>
  <si>
    <t>M. Alperen Öztürk and Şaziye Betül Özateş</t>
  </si>
  <si>
    <t>91-MAIN</t>
  </si>
  <si>
    <t>Intention Knowledge Graph Construction for User Intention Relation Modeling</t>
  </si>
  <si>
    <t>Understanding user intentions is challenging for online platforms. Recent work on intention knowledge graphs addresses this but often lacks focus on connecting intentions, which is crucial for modeling user behavior and predicting future actions. This paper introduces a framework to automatically generate an intention knowledge graph, capturing connections between user intentions. Using the Amazon m2 dataset, we construct an intention graph with 351 million edges, demonstrating high plausibility and acceptance. Our model effectively predicts new session intentions and enhances product recommendations, outperforming previous state-of-the-art methods and showcasing the approach's practical utility.</t>
  </si>
  <si>
    <t>Jiaxin Bai; Zhaobo Wang; Junfei Cheng; Dan Yu; Zerui Huang; Weiqi Wang; Xin Liu; Chen Luo; Yanming Zhu; Bo Li; Yangqiu Song</t>
  </si>
  <si>
    <t>Jiaxin Bai</t>
  </si>
  <si>
    <t>92-MAIN</t>
  </si>
  <si>
    <t>Analogical Structure, Minimal Contextual Cues and Contrastive Distractors: Input Design for Sample-Efficient Linguistic Rule Induction</t>
  </si>
  <si>
    <t>Large language models achieve strong performance through training on vast datasets. Can analogical paradigm organization enable lightweight models to match this performance with minimal data? We develop a computational approach implementing three cognitive-inspired principles: analogical structure, contrastive learning, and minimal contextual cues. We test this approach with structured completion tasks where models identify correct sentence completions from analogical patterns with contrastive alternatives. Training lightweight models (BERT+CNN, 0.5M parameters) on only one hundred structured examples of English causative/inchoative alternations achieves F1=0.95, outperforming zero-shot GPT-o3 (F1=0.87). Ablation studies confirm that analogical organization and contrastive structure improve performance, consistently surpassing randomly shuffled baselines across architectures. Cross-phenomenon validation using unspecified object alternations replicates these efficiency gains, confirming approach robustness. Our results show that analogical paradigm organization enables competitive linguistic rule learning with orders of magnitude less data than conventional approaches require.</t>
  </si>
  <si>
    <t>Chunyang Jiang; Paola Merlo</t>
  </si>
  <si>
    <t>Chunyang Jiang</t>
  </si>
  <si>
    <t>94-MAIN</t>
  </si>
  <si>
    <t>Chandomitra: Towards Generating Structured Sanskrit Poetry from Natural Language Inputs</t>
  </si>
  <si>
    <t>Text Generation has achieved remarkable performance using large language models. It has also been recently well-studied that these large language models are capable of creative generation tasks but prominently for high-resource languages. This prompts a fundamental question: $\textit{Is there a way to utilize these (large) language models for structured poetry generation in a low-resource language, such as Sanskrit?}$ We present Chandomitra, an English input to structured Sanskrit Poetry translation dataset, specifically adhering to the Anushtubh meter. We benchmark various open and closed models, and scrutinize specialized techniques such as constrained decoding and instruction fine-tuning, for the proposed task. Our constrained decoding methodology achieves 99.86% syntactic accuracy in generating metrically valid Sanskrit poetry, outperforming GPT-4o (1-shot: 31.24%). Our best-performing instruction-tuned model, on the other hand, performs better in semantic coherence with the English input, at the expense of slightly lower syntactic accuracy. Human evaluation further reveals that instruction fine-tuned model is better able to capture the poetic aspects.</t>
  </si>
  <si>
    <t>Manoj Balaji Jagadeeshan; Samarth Bhatia; Pretam Ray; Harshul Raj Surana; Akhil Rajeev P; PRIYA MISHRA; ANNARAO KULKARNI; Ganesh Ramakrishnan; Prathosh AP; Pawan Goyal</t>
  </si>
  <si>
    <t>Pretam Ray</t>
  </si>
  <si>
    <t>96-MAIN</t>
  </si>
  <si>
    <t>Tailored Emotional LLM-Supporter: Enhancing Cultural Sensitivity</t>
  </si>
  <si>
    <t>Large language models (LLMs) show promise in offering emotional support and generating empathetic responses for individuals in distress, but their ability to deliver culturally sensitive support remains underexplored due to lack of resources. In this work, we introduce CultureCare, the first dataset designed for this task, spanning four cultures and including 1729 distress messages, 1523 cultural signals, and 1041 support strategies with fine-grained emotional and cultural annotations. Leveraging CultureCare, we (i) develop and test four adaptation strategies for guiding three state-of-the-art LLMs toward culturally appropriate responses; (ii) conduct comprehensive evaluations using LLM judges, in-culture human annotators, and clinical psychologists; (iii) show that adapted LLMs outperform anonymous online peer responses, and that simple cultural role-play is insufficient for cultural sensitivity; and (iv) explore the application of LLMs in clinical training, where experts highlight their potential in fostering cultural competence in future therapists.</t>
  </si>
  <si>
    <t>Chen Cecilia Liu; Hiba Arnaout; Nils KovaДЌiД‡; Dana Atzil-Slonim; Iryna Gurevych</t>
  </si>
  <si>
    <t>Hiba Arnaout</t>
  </si>
  <si>
    <t>97-MAIN</t>
  </si>
  <si>
    <t>Detecting Subtle Sense Shift with Polysemy-Aware Trends</t>
  </si>
  <si>
    <t>Language changes faster than dictionaries can be revised, yet automatic tools still struggle to spot the subtle, shortвЂ‘term shifts in meaning that precede a formal update. We present a languageвЂ‘independent pipeline that detects wordвЂ‘sense shifts in large, timeвЂ‘stamped web corpora. The method couples a robust reвЂ‘implementation of the Adaptive SkipвЂ‘Gram model, which induces multiple sense vectors per lemma without any external inventory, with a second stage that tracks each sense through time under three alternative frequency normalizations. Linear Regression and the robust Mann-Kendall/Theil-Sen estimator then test whether a senseвЂ™s frequency slope deviates significantly from zero, producing a ranked list of headwords whose semantics are drifting. We evaluate the system on the English (12 B tokens) and Czech (1 B tokens) Timestamped corpora for May 2023-May 2025. Expert annotation of the topвЂ‘100 candidates for each model variant shows that 50.7 % of Czech and 25.7 % of English headwords exhibit genuine sense shifts, despite webвЂ‘scale noise.</t>
  </si>
  <si>
    <t>OndЕ™ej Herman; Pavel RychlГЅ</t>
  </si>
  <si>
    <t>Ondřej Herman</t>
  </si>
  <si>
    <t>98-MAIN</t>
  </si>
  <si>
    <t>Leveraging LLM-GNN Integration for Open-World Question Answering over Knowledge Graphs</t>
  </si>
  <si>
    <t>Open-world Question Answering (OW-QA) over knowledge graphs (KGs) aims to answer questions over incomplete or evolving KGs. Traditional KGQA assumes a closed world where answers must exist in the KG, limiting real-world applicability. In contrast, open- world QA requires inferring missing knowledge based on graph structure and context. Large language models (LLMs) excel at language understanding but lack structured reasoning. Graph neural networks (GNNs) model graph topology but struggle with semantic interpretation. Existing systems integrate LLMs with GNNs or graph retrievers. Some support open-world QA but rely on structural embeddings without semantic grounding. Most assume observed paths or complete graphs, making them unreliable under missing links or multi-hop reasoning. We present GLOW, a hybrid system that combines a pre-trained GNN and an LLM for open-world KGQA. The GNN predicts top-k candidate answers from the graph structure. These, along with relevant KG facts, are serialized into a structured prompt (e.g., triples and candidates) to guide the LLMвЂ™s reasoning. This enables joint reasoning over symbolic and semantic signals, without relying on retrieval or fine-tuning. To evaluate generalization, we introduce GLOW-BENCH, a 1,000-question benchmark over incomplete KGs across diverse domains. GLOW outperforms existing LLMвЂ“GNN systems on standard benchmarks and GLOW-BENCH, achieving up to 53.3% and an average 38% improvement.</t>
  </si>
  <si>
    <t>Hussein Abdallah; Ibrahim Abdelaziz; Panos Kalnis; Essam Mansour</t>
  </si>
  <si>
    <t>Essam Mansour</t>
  </si>
  <si>
    <t>99-MAIN</t>
  </si>
  <si>
    <t>Democratic or Authoritarian? Probing a New Dimension of Political Biases in Large Language Models</t>
  </si>
  <si>
    <t>As Large Language Models (LLMs) become increasingly integrated into everyday life and information ecosystems, concerns about their implicit biases continue to persist. While prior work has primarily examined socio-demographic and leftвЂ“right political dimensions, little attention has been paid to how LLMs align with broader geopolitical value systems, particularly the democracyвЂ“authoritarianism spectrum. In this paper, we propose a novel methodology to assess such alignment, combining (1) the F-scale, a psychometric tool for measuring authoritarian tendencies, (2) FavScore, a newly introduced metric for evaluating model favorability toward world leaders, and (3) role-model probing to assess which figures are cited as general role models by LLMs. We find that LLMs generally favor democratic values and leaders, but exhibit increased favorability toward authoritarian figures when prompted in Mandarin. Further, models are found to often cite authoritarian figures as role models, even outside explicitly political contexts. These results shed light on ways LLMs may reflect and potentially reinforce global political ideologies, highlighting the importance of evaluating bias beyond conventional socio-political axes.</t>
  </si>
  <si>
    <t>David Guzman Piedrahita; Irene Strauss; Rada Mihalcea; Zhijing Jin</t>
  </si>
  <si>
    <t>David Guzman Piedrahita, Irene Strauss</t>
  </si>
  <si>
    <t>101-MAIN</t>
  </si>
  <si>
    <t>PromptFE: Automated Feature Engineering by Prompting</t>
  </si>
  <si>
    <t>Automated feature engineering (AutoFE) liberates data scientists from the burden of manual feature construction. The rich semantic information of datasets has been underutilized in many existing AutoFE works. We present PromptFE, a novel AutoFE framework that leverages large language models (LLMs) to automatically construct features in a compact string format and generate semantic explanations based on dataset descriptions. By learning the performance of constructed features in context, the LLM iteratively improves feature construction. We demonstrate through experiments on real-world datasets the superior performance of PromptFE over state-of-the-art methods. We verify the impact of dataset semantic information and provide comprehensive study on the LLM-based feature construction process.</t>
  </si>
  <si>
    <t>Yufeng Zou; Jean Utke; Diego Klabjan; Han Liu</t>
  </si>
  <si>
    <t>Diego Klabjan</t>
  </si>
  <si>
    <t>106-MAIN</t>
  </si>
  <si>
    <t>Detecting (Un)answerability in Large Language Models with Linear Directions</t>
  </si>
  <si>
    <t>Large language models (LLMs) often respond confidently to questions even when they lack the necessary information, leading to hallucinated answers. In this work, we study the problem of (un)answerability detection in extractive question answering (QA), where the model should determine if a passage contains sufficient information to answer a given question. We propose a simple approach that identifies a direction in the modelвЂ™s activation space that captures unanswerability and uses it for classification. This direction is selected by applying activation additions during inference and measuring their impact on the modelвЂ™s abstention behavior. We show that projecting hidden activations onto this direction yields a reliable score for (un)answerability classification. Experiments on two open-weight LLMs and four QA benchmarks show that our method effectively detects unanswerable questions and generalizes better across datasets than existing prompt-based and classifier-based approaches. Causal interventions reveal that adding the direction increases abstention, while ablating it suppresses it, further indicating that it captures an unanswerability signal.</t>
  </si>
  <si>
    <t>Maor Juliet Lavi; Tova Milo; Mor Geva</t>
  </si>
  <si>
    <t>Maor Juliet Lavi</t>
  </si>
  <si>
    <t>111-MAIN</t>
  </si>
  <si>
    <t>BERT, are you paying attention? Attention regularization with human-annotated rationales</t>
  </si>
  <si>
    <t>Attention regularization aims to supervise the attention patterns in language models like BERT. Various studies have shown that using human-annotated rationales, in the form of highlights that explain why a text has a specific label, can have positive effects on model generalizability. In this work, we address a current gap in the literature: Does attention regularization using human-annotated rationales truly make the model rely more on the tokens that are part of the human-annotated rationale? Our results suggest that oftentimes, attention regularization with randomly selected tokens yields similar improvements as attention regularization with human-annotated rationales. Nevertheless, we find that human-annotated rationales surpass randomly selected tokens when it comes to reducing model sensitivity to strong spurious correlations.</t>
  </si>
  <si>
    <t>Elize Herrewijnen; Dong Nguyen; Floris Bex; Albert Gatt</t>
  </si>
  <si>
    <t>Elize Herrewijnen</t>
  </si>
  <si>
    <t>112-MAIN</t>
  </si>
  <si>
    <t>Humans and transformer LMs: Abstraction drives language learning</t>
  </si>
  <si>
    <t>Categorization is a core component of human linguistic competence. We investigate how a transformer-based language model (LM) learns linguistic categories by comparing its behaviour over the course of training to behaviours which characterize abstract featureвЂ“based and concrete exemplarвЂ“based accounts of human language acquisition. We investigate how lexical semantic and syntactic categories emerge using novel divergence-based metrics that track learning trajectories using next-token distributions. In experiments with GPT-2 small, we find that (i) when LMs learn a construction, abstract class-level behaviour is evident at earlier steps than lexical itemвЂ“specific behaviour, and (ii) that different LM behaviours emerge abruptly in sequence at different points in training, revealing that abstraction plays a key role in how LMs learn. This result informs the models of human language acquisition that LMs may serve as an existence proof for.</t>
  </si>
  <si>
    <t>Jasper Jian; Christopher D Manning</t>
  </si>
  <si>
    <t>Jasper Jian</t>
  </si>
  <si>
    <t>114-MAIN</t>
  </si>
  <si>
    <t>BigTokDetect: A ClinicallyвЂ‘Informed VisionвЂ“Language Model Framework for Detecting ProвЂ‘Bigorexia Videos on TikTok</t>
  </si>
  <si>
    <t>Social media platforms increasingly struggle to detect harmful content that promotes muscleвЂ‘dysmorphic behaviors, particularly proвЂ‘bigorexia material that disproportionately affects adolescent males. Unlike traditional eatingвЂ‘disorder detection focused on the вЂњthin ideal,вЂќ proвЂ‘bigorexia content often masquerades as legitimate fitness guidance, combining visual displays, coded language, and motivational messaging in ways that evade textвЂ‘only detection systems. We address this challenge with BigTokDetect, a clinically informed framework for identifying proвЂ‘bigorexia videos on TikTok. At its core is BigTok, the first expertвЂ‘annotated multimodal dataset of more than 2,200 TikTok videos labeled by clinical psychologists and psychiatrists across five primary categoriesвЂ”body image, nutrition, exercise, supplements, and masculinity. Through a comprehensive evaluation of stateвЂ‘ofвЂ‘theвЂ‘art visionвЂ“language models, BigTokDetect achieves 82.9вЂЇpercent accuracy on primaryвЂ‘category classification and 69.0вЂЇpercent on subcategory detection after domainвЂ‘specific fineвЂ‘tuning. Ablation studies show that multimodal fusion outperforms textвЂ‘only approaches by 5вЂ“10вЂЇpercentage points, with video features providing the most discriminative signals. These results establish new benchmarks for multimodal harmfulвЂ‘content detection and offer a scalable, clinically grounded approach to content moderation in specialized mentalвЂ‘health domains.</t>
  </si>
  <si>
    <t>Minh Duc Chu; Kshitij Pawar; Zihao He; Roxanna Sharifi; Ross M. Sonnenblick; Magdalayna Curry; Laura DAdamo; Lindsay Young; Stuart Murray; Kristina Lerman</t>
  </si>
  <si>
    <t>Minh Duc Hoang Chu</t>
  </si>
  <si>
    <t>115-MAIN</t>
  </si>
  <si>
    <t>Do language models accommodate their users? A study of linguistic convergence</t>
  </si>
  <si>
    <t>While large language models (LLMs) are generally considered proficient in generating language, how similar their language usage is to that of humans remains understudied. In this paper, we test whether models exhibit linguistic convergence, a core pragmatic element of human language communication, asking: do models adapt, or converge, to the linguistic patterns of their user? To answer this, we systematically compare model completions of exisiting dialogues to the original human responses across sixteen language models, three dialogue corpora, and a variety of stylometric features. We find that models strongly converge to the conversation's style, often significantly overfitting relative to the human baseline. While convergence patterns are often feature-specific, we observe consistent shifts in convergence across modeling settings, with instruction-tuned and larger models converging less than their pretrained counterparts. Given the differences between human and model convergence patterns, we hypothesize that the underlying mechanisms for these behaviors are very different.</t>
  </si>
  <si>
    <t>Terra Blevins; Susanne Schmalwieser; Benjamin Roth</t>
  </si>
  <si>
    <t>Terra Blevins</t>
  </si>
  <si>
    <t>117-MAIN</t>
  </si>
  <si>
    <t>Auditing Language Model Unlearning via Information Decomposition</t>
  </si>
  <si>
    <t>We expose a critical limitation in current approaches to machine unlearning in language models: despite the apparent success of unlearning algorithms, information about the forgotten data remains linearly decodable from internal representations. To systematically assess this discrepancy, we introduce an interpretable, information-theoretic framework for auditing unlearning using Partial Information Decomposition (PID). By comparing model representations before and after unlearning, we decompose the mutual information with the forgotten data into distinct components, formalizing the notions of unlearned and residual knowledge. Our analysis reveals that redundant information, shared across both models, constitutes residual knowledge that persists post-unlearning and correlates with susceptibility to known adversarial reconstruction attacks. Leveraging these insights, we propose a representation-based risk score that can guide abstention on sensitive inputs at inference time, providing a practical mechanism to mitigate privacy leakage. Our work introduces a principled, representation-level audit for unlearning, offering theoretical insight and actionable tools for safer deployment of language models.</t>
  </si>
  <si>
    <t>Anmol Goel; Alan Ritter; Iryna Gurevych</t>
  </si>
  <si>
    <t>Anmol Goel</t>
  </si>
  <si>
    <t>119-MAIN</t>
  </si>
  <si>
    <t>Logic Haystacks: Probing LLMsвЂ™ Long-Context Logical Reasoning (Without Easily Identifiable Unrelated Padding)</t>
  </si>
  <si>
    <t>Large language models demonstrate promising long-context processing capabilities, with recent models touting context windows close to one million tokens. However, the evaluations supporting these claims often involve simple retrieval tasks or synthetic tasks padded with irrelevant text, which models may easily detect and discard. In this work, we generate lengthy, simplified English text with first-order logic representations spanning up to 2048 sentences (~25$k GPT-4 tokens). We formulate an evaluation task with evidence retrieval for contradiction detection. The long, homogeneous text is filled with distractors that are both hard to distinguish from relevant evidence and provably non-interfering. Our evaluation of evidence retrieval reveals that the effective context window is much smaller with such realistic distractors, already crumbling at 128 sentences.</t>
  </si>
  <si>
    <t>Damien Sileo</t>
  </si>
  <si>
    <t>120-MAIN</t>
  </si>
  <si>
    <t>OD-Stega: LLM-Based Relatively Secure Steganography via Optimized Distributions</t>
  </si>
  <si>
    <t>We consider coverless steganography where a Large Language Model (LLM) is used to generate stego-texts in combination with arithmeticic coding. An efficient method should embed secret bits in as few language tokens as possible while keeping the stego-text as natural as possible. We show that this problem is equivalent to maximizing the entropy of a replacement probability distribution of the next token generation, subject to a constraint on the divergence between the new distribution and the original one produced by the LLM. A closed-form solution is provided under either the KL divergence or the total variation constraint. Several important practical issues are also tackled: 1) An often-overlooked tokenization mismatch issue is resolved with a simple prompt selection approach, 2) The combination of the optimized distribution and the vocabulary truncation technique is considered, and 3) The incorporation of the proposed approach with existing (potentially non arithemtic coding based) techniques, e.g., the Discop technique.</t>
  </si>
  <si>
    <t>Yu-Shin Huang; Peter Just; Hanyun Yin; Krishna Narayanan; Ruihong Huang; Chao Tian</t>
  </si>
  <si>
    <t>Yu-Shin Huang</t>
  </si>
  <si>
    <t>122-MAIN</t>
  </si>
  <si>
    <t>IYKYK: Using language models to decode extremist cryptolects</t>
  </si>
  <si>
    <t>Extremist groups develop complex in-group language, also referred to as cryptolects, to exclude or mislead outsiders. We investigate the ability of current language technologies to detect and interpret the cryptolects of two online extremist platforms. Evaluating eight models across six tasks, our results indicate that general purpose LLMs cannot consistently detect or decode extremist language. However, performance can be significantly improved by domain adaptation and specialised prompting techniques. These results provide important insights to inform the development and deployment of automated moderation technologies. We further develop and release novel labelled and unlabelled datasets, including 19.4M posts from extremist platforms and lexicons validated by human experts.</t>
  </si>
  <si>
    <t>Christine de Kock; Arij Riabi; Zeerak Talat; Michael Sejr Schlichtkrull; Pranava Madhyastha; Eduard Hovy</t>
  </si>
  <si>
    <t>Zeerak Talat</t>
  </si>
  <si>
    <t>131-MAIN</t>
  </si>
  <si>
    <t>A Survey on Multilingual Mental Disorders Detection from Social Media Data</t>
  </si>
  <si>
    <t>The increasing prevalence of mental health disorders globally highlights the urgent need for effective digital screening methods that can be used in multilingual contexts. Most existing studies, however, focus on English data, overlooking critical mental health signals that may be present in non-English texts. To address this important gap, we present the first survey on the detection of mental health disorders using multilingual social media data. We investigate the cultural nuances that influence online language patterns and self-disclosure behaviors, and how these factors can impact the performance of NLP tools. Additionally, we provide a comprehensive list of multilingual data collections that can be used for developing NLP models for mental health screening. Our findings can inform the design of effective multilingual mental health screening tools that can meet the needs of diverse populations, ultimately improving mental health outcomes on a global scale.</t>
  </si>
  <si>
    <t>Ana-Maria Bucur; Marcos Zampieri; Tharindu Ranasinghe; Fabio Crestani</t>
  </si>
  <si>
    <t>Ana-Maria Bucur</t>
  </si>
  <si>
    <t>132-MAIN</t>
  </si>
  <si>
    <t>Identifying Fine-grained Forms of Populism in Political Discourse: A Case Study on Donald Trump's Presidential Campaigns</t>
  </si>
  <si>
    <t>Large Language Models (LLMs) have demonstrated remarkable capabilities across a wide range of instruction-following tasks, yet their grasp of nuanced social science concepts remains underexplored. This paper examines whether LLMs can identify and classify fine-grained forms of populism, a complex and contested concept in both academic and media debates. To this end, we curate and release novel datasets specifically designed to capture populist discourse. We evaluate a range of pre-trained (large) language models, both open-weight and proprietary, across multiple prompting paradigms. Our analysis reveals notable variation in performance, highlighting the limitations of LLMs in detecting populist discourse. We find that a fine-tuned RoBERTa classifier vastly outperforms all new-era instruction-tuned LLMs, unless fine-tuned. Additionally, we apply our best-performing model to analyze campaign speeches by Donald Trump, extracting valuable insights into his strategic use of populist rhetoric. Finally, we assess the generalizability of these models by benchmarking them on campaign speeches by European politicians, offering a lens into cross-context transferability in political discourse analysis. In this setting, we find that instruction-tuned LLMs exhibit greater robustness on out-of-domain data.</t>
  </si>
  <si>
    <t>Ilias Chalkidis; Stephanie Brandl; Paris Aslanidis</t>
  </si>
  <si>
    <t>Ilias Chalkidis</t>
  </si>
  <si>
    <t>134-MAIN</t>
  </si>
  <si>
    <t>SCoNE: a Self-Correcting and Noise-Augmented Method for Complex Biological and Chemical Named Entity Recognition</t>
  </si>
  <si>
    <t>Generative methods have recently gained traction in biological and chemical named entity recognition for their ability to overcome tagging limitations and better capture entity-rich contexts. However, under a few-shot environment, they struggle with the scarcity of annotated data and the structural complexity of biological and chemical entitiesвЂ”particularly nested and discontinuous onesвЂ”leading to incorrect recognition and error propagation during generation. To address these challenges, we propose SCoNE, a Self-Correcting and Noise-Augmented Method for Complex Biological and Chemical Named Entity Recognition. Specifically, we introduce a Noise Augmentation Module to enhance training diversity and guide the model to better learn complex entity structures. Besides, we design a Confidence-based Self-Correction Module that identifies low-confidence outputs and revises them to improve generation robustness. Benefiting from these designs, our method outperforms the baselines by 1.80 and 2.73 F1-score on the CHEMDNER and microbial ecology dataset Florilege, highlighting its effectiveness in biological and chemical named entity recognition.</t>
  </si>
  <si>
    <t>Xingyu Zhu; Claire NГ©dellec; Balazs Nagy; Laszlo Vidacs; Robert Bossy</t>
  </si>
  <si>
    <t>Xingyu Zhu</t>
  </si>
  <si>
    <t>135-MAIN</t>
  </si>
  <si>
    <t>A Benchmark for Audio Reasoning Capabilities of Multimodal Large Language Models</t>
  </si>
  <si>
    <t>The present benchmarks for testing the audio modality of multimodal large language models concentrate on testing various audio tasks such as speaker diarization or gender identification in isolation. Whether a multimodal model can answer the questions that require reasoning skills to combine audio tasks of different categories cannot be verified with their use. To address this issue, we propose Audio Reasoning Tasks (ART), a new benchmark for assessing the ability of multimodal models to solve problems that require reasoning over audio signal.</t>
  </si>
  <si>
    <t>Iwona Christop; Mateusz CzyЕјnikiewicz; PaweЕ‚ SkГіrzewski; ЕЃukasz Bondaruk; Jakub Kubiak; Marcin Lewandowski; Marek Kubis</t>
  </si>
  <si>
    <t>Iwona Christop</t>
  </si>
  <si>
    <t>138-MAIN</t>
  </si>
  <si>
    <t>CrossThink: Scaling Self-Learning beyond Math Reasoning</t>
  </si>
  <si>
    <t>Prior work has successfully applied Reinforcement Learning (RL) to mathematical reasoningвЂ”where rules and correctness are well-defined. Yet, generalizing these methods to broader reasoning domains remains challenging due to limited data and the lack of verifiable rewards for unstructured domains. In this work, we propose CrossThink, a framework that systematically incorporates multi-domain corpora into RL training to improve generalization across diverse reasoning tasks. CrossThink addresses key challenges by (1) combining data from varied sources; (2) applying structured templates to control answer-space complexity; (3) filtering for verifiable answers; and (4) optimizing data blending strategies to utilize multi-source data effectively. This enables scalable and verifiable reward modeling beyond math and demonstrates improved accuracies on both math (MATH-500: +30.1%, AMC23: +27.5%) and non-math reasoning benchmarks (MMLU-Pro: +12.8%, GPQA-Diamond: +11.3%, AGIEval: +15.1%, SuperGPQA: +3.8%). Moreover, CrossThink exhibits significantly improved response efficiencyвЂ”using 28% fewer tokens for correct answersвЂ”highlighting more focused and effective reasoning. Through CrossThink, we demonstrate that integrating multi-domain, multi-format data in RL leads to more accurate, efficient, and generalizable LLMs.</t>
  </si>
  <si>
    <t>Syeda Nahida Akter; Shrimai Prabhumoye; Matvei Novikov; Seungju Han; Ying Lin; Evelina Bakhturina; Eric Nyberg; Yejin Choi; Mostofa Patwary; Mohammad Shoeybi; Bryan Catanzaro</t>
  </si>
  <si>
    <t>Syeda Nahida Akter</t>
  </si>
  <si>
    <t>139-MAIN</t>
  </si>
  <si>
    <t>Safety of Large Language Models Beyond English: A Systematic Literature Review of Risks, Biases, and Safeguards</t>
  </si>
  <si>
    <t>As Large Language Models (LLMs) continue to evolve, ensuring their safety across multiple languages has become a critical concern. While LLMs demonstrate impressive capabilities in English, their safety mechanisms may not generalize effectively to other languages, leading to disparities in toxicity detection, bias mitigation, and harm prevention. This systematic review examines the multilingual safety of LLMs by synthesizing findings from recent studies that evaluate their robustness across diverse linguistic and cultural contexts beyond English language. Our review explores the methodologies used to assess multilingual safety, identifies challenges such as dataset availability and evaluation biases. Based on our analysis we highlight gaps in multilingual safety research and provide recommendations for future work. This review aims to contribute to the development of fair and effective safety mechanisms for LLMs across all languages. We provide the extracted data in an interactive Streamlit dashboard, enabling transparent access to the raw data and allowing for continuous updates.</t>
  </si>
  <si>
    <t>Aleksandra KrasnodД™bska; Katarzyna Dziewulska; Karolina Seweryn; Maciej Chrabaszcz; Wojciech Kusa</t>
  </si>
  <si>
    <t>Aleksandra Krasnodębska</t>
  </si>
  <si>
    <t>141-MAIN</t>
  </si>
  <si>
    <t>Cetvel: A Unified Benchmark for Evaluating Language Understanding, Generation and Cultural Capacity of LLMs for Turkish</t>
  </si>
  <si>
    <t>We introduce Cetvel, a comprehensive benchmark designed to evaluate large language models (LLMs) in Turkish. Existing Turkish benchmarks often lack either task diversity or culturally relevant content, or both. Cetvel addresses these gaps by combining a broad range of both discriminative and generative tasks ensuring content that reflects the linguistic and cultural richness of Turkish language. Cetvel covers 23 tasks grouped into seven categories, including tasks such as grammatical error correction, machine translation, and question answering rooted in Turkish history and idiomatic language. We evaluate 33 open-weight LLMs (up to 70B parameters) covering different model families and instruction paradigms. Our experiments reveal that Turkish-centric instruction-tuned models generally underperform relative to multilingual or general-purpose models (e.g. Llama 3 and Mistral), despite being tailored for the language. Moreover, we show that tasks such as grammatical error correction and extractive question answering are particularly discriminative in differentiating model capabilities. Cetvel offers a comprehensive and culturally grounded evaluation suite for advancing the development and assessment of LLMs in Turkish.</t>
  </si>
  <si>
    <t>Yakup Abrek Er; Ilker Kesen; GГ¶zde GГјl Ећahin; Aykut Erdem</t>
  </si>
  <si>
    <t>Ilker Kesen</t>
  </si>
  <si>
    <t>142-MAIN</t>
  </si>
  <si>
    <t>CALE : Concept-Aligned Embeddings for Both Within-Lemma and Inter-Lemma Sense Differentiation</t>
  </si>
  <si>
    <t>Lexical semantics is concerned with both the multiple senses a word can adopt in different contexts, and the semantic relations that exist between meanings of different words. To investigate them, Contextualized Language Models are a valuable tool that provides context-sensitive representations that can be used to investigate lexical meaning. Recent works like XL-LEXEME have leveraged the task of Word-in-Context to fine-tune them to get more semantically accurate representations, but Word-in-Context only compares occurrences of the same lemma, limiting the range of captured information. In this paper, we propose an extension, Concept Differentiation, to include inter-words scenarios. We provide a dataset for this task, derived from SemCor data. Then we fine-tune several representation models on this dataset. We call these models Concept-Aligned Embeddings (CALE). By challenging our models and other models on various lexical semantic tasks, we demonstrate that the proposed models provide efficient multi-purpose representations of lexical meaning that reach best performances in our experiments. We also show that CALE's fine-tuning brings valuable changes to the spatial organization of embeddings.</t>
  </si>
  <si>
    <t>Bastien LiГ©tard; Gabriel Loiseau</t>
  </si>
  <si>
    <t>Gabriel Loiseau</t>
  </si>
  <si>
    <t>143-MAIN</t>
  </si>
  <si>
    <t>Do NOT Classify and Count: Hybrid Attribute Control Success Evaluation</t>
  </si>
  <si>
    <t>Evaluating attribute control success in controllable text generation and related generation tasks typically relies on pretrained classifiers. We show that this widely used classify-and-count approach yields biased and inconsistent results, with estimates varying significantly across classifiers. We frame control success estimation as a quantification task and apply a hybrid Bayesian method that combines classifier predictions with a small number of human labels for calibration. To test our approach, we collected a two-modality test dataset consisting of 600 human-rated samples and 60,000 automatically rated samples. Our experiments show that our approach produces robust estimates of control success across both text and text-to-image generation tasks, offering a principled alternative to current evaluation practices.</t>
  </si>
  <si>
    <t>Felix Matthias Saaro; Pius von DГ¤niken; Mark Cieliebak; Jan Milan Deriu</t>
  </si>
  <si>
    <t>Pius von Däniken</t>
  </si>
  <si>
    <t>150-MAIN</t>
  </si>
  <si>
    <t>How effective are VLMs in assisting humans in inferring the quality of mental models from Multimodal short answers?</t>
  </si>
  <si>
    <t>Mental models can play a critical role in assessing studentsвЂ™ conceptual understanding of a topic. They not only offer insights into what students know but also into how effectively they can apply, relate to, and integrate concepts across various contexts. Thus, students' responses are critical markers of the quality of their understanding and not entities that should be merely graded. However, inferring mental models from student answers is challenging as it requires deep reasoning skills. We propose MMGrader, an approach that infers the quality of students' mental models from their multimodal responses using concept graphs as an analytical framework. In our evaluation with 9 openly available models, we found that the best-performing models fall short of human-level performance. This is because they only achieved an accuracy of approximately 40%, a prediction error of 1.1 units, and a scoring distribution fairly aligned with human scoring patterns. With improved accuracy, these can be highly effective assistants to teachers in inferring the mental models of their entire classrooms, enabling them to do so efficiently and help improve their pedagogies more effectively by designing targeted help sessions and lectures that strengthen areas where students collectively demonstrate lower proficiency.</t>
  </si>
  <si>
    <t>Pritam Sil; DURGAPRASAD KARNAM; Vinay Reddy Venumuddala; Pushpak Bhattacharyya</t>
  </si>
  <si>
    <t>Pritam Sil</t>
  </si>
  <si>
    <t>154-MAIN</t>
  </si>
  <si>
    <t>Don't Trust Generative Agents to Mimic Communication on Social Networks Unless You Benchmarked their Empirical Realism</t>
  </si>
  <si>
    <t>The ability of Large Language Models (LLMs) to mimic human behavior triggered a plethora of computational social science research, assuming that empirical studies of humans can be conducted with AI agents instead. Since there have been conflicting research findings on whether and when this hypothesis holds, there is a need to better understand the differences in their experimental designs. We focus on replicating the behavior of social network users with the use of LLMs for the analysis of communication on social networks. First, we provide a formal framework for the simulation of social networks, before focusing on the sub-task of imitating user communication. We empirically test different approaches to imitate user behavior on in English and German. Our findings suggest that social simulations should be validated by their empirical realism measured in the setting in which the simulation components were fitted. With this paper, we argue for more rigor when applying generative-agent-based modeling for social simulation.</t>
  </si>
  <si>
    <t>Simon MГјnker; Nils Schwager; Achim Rettinger</t>
  </si>
  <si>
    <t>Simon Münker</t>
  </si>
  <si>
    <t>155-MAIN</t>
  </si>
  <si>
    <t>Persona Prompting as a Lens on LLM Social Reasoning</t>
  </si>
  <si>
    <t>For socially sensitive tasks like hate speech detection, the quality of explanations from Large Language Models (LLMs) is crucial for factors like user trust and model alignment. While Persona prompting (PP) is increasingly used as a way to steer model towards user-specific generation, its effect on model rationales remains underexplored. We investigate how LLM-generated rationales vary when conditioned on different simulated demographic personas. Using datasets annotated with word-level rationales, we measure agreement with human annotations from different demographic groups, and assess the impact of PP on model bias and human alignment. Our evaluation across three LLMs results reveals three key findings: (1) PP improving classification on the most subjective task (hate speech) but degrading rationale quality. (2) Simulated personas fail to align with their real-world demographic counterparts, and high inter-persona agreement shows models are resistant to significant steering. (3) Models exhibit consistent demographic biases and a strong tendency to over-flag content as harmful, regardless of PP. Our findings reveal a critical trade-off: while PP can improve classification in socially-sensitive tasks, it often comes at the cost of rationale quality and fails to mitigate underlying biases, urging caution in its application.</t>
  </si>
  <si>
    <t>Jing Yang; Moritz Hechtbauer; Elisabeth Khalilov; Evelyn Luise Brinkmann; Vera Schmitt; Nils Feldhus</t>
  </si>
  <si>
    <t>Jing Yang</t>
  </si>
  <si>
    <t>166-MAIN</t>
  </si>
  <si>
    <t>PartisanLens: A Multilingual Dataset of Hyperpartisan and Conspiratorial Immigration Narratives in European Media</t>
  </si>
  <si>
    <t>Detecting hyperpartisan narratives and Population Replacement Conspiracy Theories is essential to addressing the spread of misinformation. However, existing resources are scarce, predominantly English-centric, and often analyze hyperpartisanship, stance, and rhetorical bias in isolation rather than as interrelated aspects of political discourse. To bridge this gap, we introduce PartisanLens, the first multilingual dataset of 1617 hyperpartisan news headlines in Spanish, Italian, and Portuguese. We first evaluate the classification performance of Large Language Models (LLMs) on this dataset, establishing new baselines and showing that LLMs outperform mBERT. In addition, we assess the viability of using LLMs as automatic annotators for this task, analyzing their ability to approximate human annotation. Results highlight both their potential and current limitations. Finally, moving beyond standard judgements, we explore whether LLMs can emulate human annotation patterns by conditioning them on socio-economic and ideological profiles that simulate annotator perspectives. By providing this resource and evaluation, PartisanLens supports future research on detecting partisan and conspiratorial narratives in European contexts.</t>
  </si>
  <si>
    <t>Michele Joshua Maggini; Paloma Piot; Anxo PГ©rez; Erik Bran Marino; LГєa SantamarГ­a Montesinos; Ana Lisboa Cotovio; Marta VГЎzquez AbuГ­n; Javier Parapar; Pablo Gamallo</t>
  </si>
  <si>
    <t>Michele Joshua Maggini; Paloma Piot;</t>
  </si>
  <si>
    <t>169-MAIN</t>
  </si>
  <si>
    <t>Progressive Visual Refinement for Multi-modal Summarization</t>
  </si>
  <si>
    <t>Multi-modal summarization (MMS) has emerged as a critical research area driven by the proliferation of multimedia content, focusing on generating condensed summaries by cross-modal complementary information synthesis. Previous studies have demonstrated the effectiveness of heterogeneous fusion paradigms, particularly through visual-centric feature extraction mechanisms, in constructing cross-modal representations that yield substantial performance gains. However, the use of multi-modal information and the inter-correlation among textual content, visual elements, and summary generation are still underestimated. We propose the Patch-Refined Visual Information Network (PRVIN) to address the insufficient exploitation of visual information. The essential patch selector and patch refiner components in PRVIN work collaboratively to progressively identify and refine critical visual features. An additional vision-to-summary alignment mechanism is also introduced to enhance the semantic connections between multi-modal representations and summary outputs. Extensive experiments conducted on two public MMS benchmark datasets demonstrate the superiority of PRVIN while quantitatively validating the crucial role of comprehensive visual information utilization in MMS tasks.\footnote{Our code will be available at</t>
  </si>
  <si>
    <t>Ye Xiong; Hidetaka Kamigaito; Soichiro Murakami; Peinan Zhang; Hiroya Takamura; Manabu Okumura</t>
  </si>
  <si>
    <t>YE XIONG</t>
  </si>
  <si>
    <t>171-MAIN</t>
  </si>
  <si>
    <t>Adaptive LLM-Symbolic Reasoning via Dynamic Logical Solver Composition</t>
  </si>
  <si>
    <t>Neuro-symbolic NLP methods aim to leverage the complementary strengths of large language models and formal logical solvers. However, current approaches are mostly static in nature, i.e., the integration of a target solver is predetermined at design time, hindering the ability to employ diverse formal inference strategies. To address this, we introduce an adaptive, multi-paradigm, neuro-symbolic inference framework that: (1) automatically identifies formal reasoning strategies from problems expressed in natural language; and (2) dynamically orchestrates a suite of specialized formal logical solvers via autoformalization interfaces. Extensive experiments on individual and multi-paradigm reasoning tasks support the following conclusions: LLMs are effective at predicting the necessary formal reasoning strategies with an accuracy above 90%, which enables effective integration across different formal paradigms, with the proposed framework outperforming competing baselines (outperform the second-best by 27% and 6% for GPT-4o and DeepSeek-V3.1, respectively). Moreover, adaptive reasoning can positively impact pure LLM methods, yielding significant improvements across zero-shot and CoT settings on GPT-4o, with gains of 10%, 5%, and 6% on zero-sho, CoT, and CoT$_{sym}$, respectively. Experiments reveal that smaller models still struggle with adaptive neuro-symbolic reasoning, yet limitations can be alleviated through post-training. Overall, this work establishes the foundations for adaptive LLM-based material-formal integration, offering a path forward for unifying material and formal inferences on heterogeneous reasoning challenges. The code and data are available online\footnote{\url{https://anonymous.4open.science/r/ACB4}}.</t>
  </si>
  <si>
    <t>Lei Xu; Pierre Beckmann; Marco Valentino; Andre Freitas</t>
  </si>
  <si>
    <t>Lei Xu</t>
  </si>
  <si>
    <t>177-MAIN</t>
  </si>
  <si>
    <t>Lexical Popularity: Quantifying the Impact of Pre-training for LLM Performance</t>
  </si>
  <si>
    <t>Large Language Models (LLMs) excel in numerous and varied tasks. Yet, the mechanisms that underlie this success remain insufficiently understood. In particular, the size and the limited transparency of their pre-training materials make it difficult to state what the properties of the pre-training material are when compared to the test data. In this paper, we investigate whether LLMs learned generalized linguistic abstraction or rely on surface-level features, like lexical patterns, that match their pre-training data. We explore this by examining the relationship between lexical overlap of test data and task performance. We observe that lexical overlap with the pre-training material is mostly beneficial to model performance on tasks requiring functional linguistic knowledge. To further explore the impact of lexical features, we also demonstrate that LLMs are fragile with respect to lexical perturbations that preserve semantics. While we expected models to rely on lexical overlap between test instances and pre-training data for tasks requiring functional knowledge, lexical perturbations reveal that models also exhibit, to a lesser extent, this dependence for tasks requiring formal linguistic knowledge.</t>
  </si>
  <si>
    <t>Elena Sofia Ruzzetti; Fabio Massimo Zanzotto; Tommaso Caselli</t>
  </si>
  <si>
    <t>Fabio Massimo Zanzotto</t>
  </si>
  <si>
    <t>184-MAIN</t>
  </si>
  <si>
    <t>Training in Step-by-Step Formal Reasoning Improves Pronominal Reasoning in Language Models</t>
  </si>
  <si>
    <t>Large reasoning models, which are trained to solve problems by decomposing them into steps, show impressive progress on reasoning tasks, but ``reasoning'' here is typically limited to formal reasoning, i.e., math, code, and logic. An open question is whether these abilities transfer to pronominal reasoning, where step-by-step thinking in non-reasoning models worsens performance, but code pre-training may help. We answer this question by evaluating six pairs of original and DeepSeek-distilled models ($1.5$B--$7$B parameters) on six challenging datasets for English pronoun resolution (identifying whom a pronoun refers to) and pronoun fidelity (learning and applying a pronoun mapping correctly). Performance improves statistically significantly on five of six datasets ($31$% relative increase), indicating that distilling step-by-step formal reasoning does in fact help with pronominal reasoning. With a qualitative evaluation of $720$ generations, we show that improvements are partly due to improved instruction-following and mostly due to plausible-looking reasoning. However, the gains put models just above random performance on these datasets, leaving plenty of room for improvement.</t>
  </si>
  <si>
    <t>Vagrant Gautam</t>
  </si>
  <si>
    <t>188-MAIN</t>
  </si>
  <si>
    <t>Uncovering Hidden Correctness in LLM Causal Reasoning via Symbolic Verification</t>
  </si>
  <si>
    <t>Large language models (LLMs) are increasingly applied to tasks involving causal reasoning. However, current benchmarks often rely on string matching or surface-level metrics that fail to assess whether a modelвЂ™s output is formally valid under causal semantics. We propose DoVerifier, a symbolic verification framework that checks whether LLM-generated causal expressions are derivable from a given causal graph using rules from do-calculus and probability theory. This allows us to recover correct answers that would otherwise be marked incorrect due to superficial differences. Evaluations on synthetic data and causal QA benchmarks show that DoVerifier more accurately captures semantic correctness than standard metrics, offering a more rigorous and informative way to evaluate LLMs on causal tasks.</t>
  </si>
  <si>
    <t>Paul He; Yinya Huang; Mrinmaya Sachan; Zhijing Jin</t>
  </si>
  <si>
    <t>Paul He</t>
  </si>
  <si>
    <t>195-MAIN</t>
  </si>
  <si>
    <t>CORE: Measuring Multi-Agent LLM Interaction Quality under Game-Theoretic Pressures</t>
  </si>
  <si>
    <t>Game-theoretic interactions between agents with large language models (LLMs) have revealed many emergent capabilities, yet the linguistic diversity of these interactions has not been sufficiently quantified. In this paper, we present the Conversational Robustness Evaluation Score: CORE, a metric to quantify the effectiveness of language use within multi-agent systems across different game-theoretic interactions. CORE integrates measures of cluster entropy, lexical repetition, and semantic similarity, providing a direct lens of dialog quality. We apply CORE to pairwise LLM dialogs across competitive, cooperative, and neutral settings, further grounding our analysis in Zipf's and Heaps' Laws to characterize word frequency distributions and vocabulary growth. Our findings show that cooperative settings exhibit both steeper Zipf distributions and higher Heap exponents, indicating more repetition alongside greater vocabulary expansion. In contrast, competitive interactions display lower Zipf and Heaps exponents, reflecting less repetition and more constrained vocabularies. These results provide new insights into how social incentives influence language adaptation, and highlight CORE as a robust diagnostic for measuring linguistic robustness in multi-agent LLM systems.</t>
  </si>
  <si>
    <t>Punya Syon Pandey; Yongjin Yang; Jiarui Liu; Zhijing Jin</t>
  </si>
  <si>
    <t>Punya Syon Pandey</t>
  </si>
  <si>
    <t>197-MAIN</t>
  </si>
  <si>
    <t>Improving German-language LLM pre-training with model-based data curation and synthetic data generation</t>
  </si>
  <si>
    <t>Scaling data quantity is essential for large language models (LLMs), yet recent findings show that data quality can significantly boost performance and training efficiency. We introduce a German-language dataset curation pipeline that combines heuristic and model-based filtering techniques with synthetic data generation. We use our pipeline to create GermanWeb, a large-scale German pre-training dataset which draws from: (1) Common Crawl web data, (2) FineWeb2, and (3) synthetically-generated data conditioned on actual, organic web data. We evaluate our dataset by pre-training both a 1B Llama-style model and an 8B tokeniser-free hierarchical autoregressive transformer (HAT). A comparison on German-language benchmarks, including MMMLU, shows significant performance gains of GermanWeb over FineWeb2 alone. This advantage holds at the 8B scale even when FineWeb2 is enriched by human-curated high-quality data sources such as Wikipedia. Our findings support the growing body of evidence that model-based data curation and synthetic data generation can significantly enhance LLM pre-training datasets.</t>
  </si>
  <si>
    <t>Thomas F Burns; Letitia Parcalabescu; Stephan Waeldchen; Michael Barlow; Gregor Ziegltrum; Volker Stampa; Bastian Harren; Björn Deiseroth</t>
  </si>
  <si>
    <t>Thomas F Burns</t>
  </si>
  <si>
    <t>199-MAIN</t>
  </si>
  <si>
    <t>Ultra-Low-Dimensional Prompt Tuning via Random Projection</t>
  </si>
  <si>
    <t>Large language models achieve state-of-the-art performance but are increasingly costly to fine-tune. Parameter-efficient fine-tuning methods like prompt tuning address this by learning prompt embeddings, but these are typically tied to the modelвЂ™s dimensionality, limiting efficiency for larger or customized LLMs. In this paper, we propose Ultra-Low-dimensional Prompt Tuning (ULPT), a simple yet effective method that optimizes prompts in a low-dimensional space (e.g., 2D) and use a frozen random matrix for up-projection. ULPT achieves up to 98% reduction in the tunable parameters compared to vanilla prompt tuning while preserving performance. Extensive experiments across 20+ NLP tasks demonstrate that ULPT consistently outperforms recent parameter-efficient tuning methods while using significantly fewer parameters, making it well-suited for scalable, storage-efficient LLM customization.</t>
  </si>
  <si>
    <t>Zijun Wu; Yongchang Hao; Lili Mou</t>
  </si>
  <si>
    <t>Zijun Wu</t>
  </si>
  <si>
    <t>208-MAIN</t>
  </si>
  <si>
    <t>Deconstructing Instruction-Following: A New Benchmark for Granular Evaluation of Large Language Model Instruction Compliance Abilities</t>
  </si>
  <si>
    <t>Reliably ensuring Large Language Models (LLMs) follow complex instructions is a critical challenge, as existing benchmarks often fail to reflect real-world use or isolate compliance from task success. We introduce a modular framework that uses a dynamically generated dataset with up to 20 application-oriented generation constraints to enable a granular and independent analysis of this capability. Our evaluation of five LLMs from different families based on this new benchmark demonstrates that compliance is not a monolithic capability but varies significantly with constraint type, quantity, and position. The analysis reveals model-specific weaknesses, uncovers synergistic and conflicting interactions between instructions, and identifies distinct positional biases such as primacy and recency effects. These granular insights are critical for diagnosing model failures and developing more reliable LLMs for systems that demand strict adherence to complex instructions.</t>
  </si>
  <si>
    <t>Alberto Purpura; Li Wang; Sahil Badyal; Gene Beaufrand; Adam Faulkner</t>
  </si>
  <si>
    <t>Sahil Badyal</t>
  </si>
  <si>
    <t>215-MAIN</t>
  </si>
  <si>
    <t>Lost in Activations: A Neuron-level Analysis of Encoders for Cross-Lingual Emotion Detection</t>
  </si>
  <si>
    <t>The rapid advancement of multilingual pre-trained transformers has fueled significant progress in natural language understanding across diverse languages. Yet, their inner workings remain opaque, especially with regard to how individual neurons encode and generalize semantic and affective features across languages. This paper presents an interpretability study of a fine-tuned XLM-R model for multilingual emotion classification. Using neuron-level activation analysis, we investigate the variance of neurons across labels, cross-lingual alignment of activations, and the existence of вЂњpolyglotвЂќ versus language-specific neurons. Our results reveal that while certain neurons consistently encode emotion-related concepts across languages, others show strong monolingual specialization.</t>
  </si>
  <si>
    <t>Pranaydeep Singh; Orphee De Clercq; Els Lefever</t>
  </si>
  <si>
    <t>Pranaydeep Singh</t>
  </si>
  <si>
    <t>216-MAIN</t>
  </si>
  <si>
    <t>iBERT: Interpretable Style Embeddings via Sense Decomposition</t>
  </si>
  <si>
    <t>We present iBERT (interpretable-BERT), an encoder to produce inherently interpretable and controllable embeddings - designed to modularize and expose the discriminative cues present in language, such as stylistic and semantic structure. Each input token is represented as a sparse, nonвЂ‘negative mixture over k contextвЂ‘independent sense vectors, which can be pooled into sentence embeddings or used directly at the token level. This enables modular control over representation, before any decoding or downstream use. To demonstrate our model's interpretability, we evaluate it on a suite of styleвЂ‘focused tasks. On the STEL benchmark, it improves style representation effectiveness by ~8 points over SBERT-style baselines (prior SOTA), while maintaining competitive performance on authorship verification. Because each embedding is a structured composition of interpretable senses, we highlight how specific style attributes - such as emoji use, formality, or misspelling can be assigned to specific sense vectors. While our experiments center on style, iBERT is not limited to stylistic modeling. Its structural modularity is designed to interpretably decompose whichever discriminative signals are present in the data вЂ” enabling generalization even when supervision blends stylistic and semantic factors.</t>
  </si>
  <si>
    <t>Vishal Anand; Milad Alshomary; Kathleen McKeown</t>
  </si>
  <si>
    <t>Vishal Anand</t>
  </si>
  <si>
    <t>224-MAIN</t>
  </si>
  <si>
    <t>Say It Another Way: Auditing LLMs with a User-Grounded Automated Paraphrasing Framework</t>
  </si>
  <si>
    <t>Large language models (LLMs) are highly sensitive to subtle changes in prompt phrasing, posing challenges for reliable auditing. Prior methods often apply unconstrained prompt paraphrasing, which risk missing linguistic and demographic factors that shape authentic user interactions. We introduce AUGMENT (Automated User-Grounded Modeling and Evaluation of Natural Language Transformations), a framework for generating controlled paraphrases, grounded in user behaviors. AUGMENT leverages linguistically informed rules and enforces quality through checks on instruction adherence, semantic similarity, and realism, ensuring paraphrases are both reliable and meaningful for auditing. Through case studies on the BBQ and MMLU datasets, we show that controlled paraphrases uncover systematic weaknesses that remain obscured under unconstrained variation. These results highlight the value of the AUGMENT framework for reliable auditing.</t>
  </si>
  <si>
    <t>Clea Chataigner; Rebecca Ma; Prakhar Ganesh; Yuhao Chen; Afaf Taik; Elliot Creager; Golnoosh Farnadi</t>
  </si>
  <si>
    <t>Clea Chataigner; Rebecca Ma</t>
  </si>
  <si>
    <t>229-MAIN</t>
  </si>
  <si>
    <t>AutoBool: Reinforcement-Learned LLM for Effective Automatic Systematic Reviews Boolean Query Generation</t>
  </si>
  <si>
    <t>We present AutoBool, a reinforcement learning (RL) framework that trains large language models (LLMs) to generate effective Boolean queries for medical systematic reviews. Boolean queries are the primary mechanism for literature retrieval in this domain and must achieve high recall while maintaining reasonable precision---a challenging balance that existing prompt-based LLM approaches often struggle to achieve. A major limitation in this space is the lack of ground-truth best Boolean queries for each topic, which makes supervised fine-tuning impractical. AutoBool addresses this challenge by leveraging RL to directly optimize query generation against retrieval performance metrics, without requiring ideal target queries. To support this effort, we create and release the largest dataset of its kind: 65 588 topics in total for training and evaluating the task of automatic Boolean query formulation. Experiments on our new dataset and two established datasets (CLEF TAR and Seed Collection) show that AutoBool significantly outperforms zero-shot/few-shot prompting and matches or exceeds the effectiveness of much larger GPT-based models (e.g., GPT-4o, O3) using smaller backbones. It also approaches effectiveness of expert-authored queries while retrieving 10вЂ“16 times fewer documents. Ablation studies reveal the critical roles of model backbone, size, decoding temperature, and prompt design. Code and data are available at https://anonymous.4open.science/r/AutoBool-B3E5/.</t>
  </si>
  <si>
    <t>Shuai Wang; Harrisen Scells; Bevan Koopman; Guido Zuccon</t>
  </si>
  <si>
    <t>Guido Zuccon</t>
  </si>
  <si>
    <t>239-MAIN</t>
  </si>
  <si>
    <t>Contrastive Learning with Narrative Twins for Modeling Story Salience</t>
  </si>
  <si>
    <t>Understanding narratives requires identifying which events are most salient for a story's progression. We present a contrastive learning framework for modeling narrative salience that learns story embeddings from narrative twins: stories that share the same plot but differ in surface form. Our model is trained to distinguish a story from both its narrative twin and a distractor with similar surface features but different plot. Using the resulting embeddings, we evaluate four narratologically motivated operations for inferring salience (deletion, shifting, disruption, and summarization). Experiments on short narratives (ROCStories) and longer Wikipedia plot summaries show that contrastively learned story embeddings outperform a masked-language-model baseline, and that summarization is the most reliable operation for identifying salient sentences. If retellings are not available, random dropout can be used to generate narrative twins from a single story. Effective distractors can be obtained either by prompting LLMs or, in long-form narratives, by using different parts of the same story.</t>
  </si>
  <si>
    <t>Igor Sterner; Alex Lascarides; Frank Keller</t>
  </si>
  <si>
    <t>Igor Sterner</t>
  </si>
  <si>
    <t>243-MAIN</t>
  </si>
  <si>
    <t>CRADLE Bench: A Clinician-Annotated Benchmark for Multi-Faceted Mental Health Crisis and Safety Risk Detection</t>
  </si>
  <si>
    <t>Detecting mental health crisis situations such as suicide ideation, rape, domestic violence, child abuse, and sexual harassment is a critical yet underexplored challenge for language models. When such situations arise during userвЂ“model interactions, models must reliably flag them, as failure to do so can have serious consequences. In this work, we introduce \textsc{CRADLE BENCH}, a benchmark for multi-faceted crisis detection. Unlike previous efforts that focus on a limited set of crisis types, our benchmark covers seven types defined in line with clinical standards and is the first to incorporate temporal labels. Our benchmark provides 600 clinician-annotated evaluation examples and 420 development examples, together with a training corpus of around 4K examples automatically labeled using a majority-vote ensemble of multiple language models, which significantly outperforms single-model annotation. We further fine-tune six crisis detection models on subsets defined by consensus and unanimous ensemble agreement, providing complementary models trained under different agreement criteria. \noindent \textit{\textbf{Content warning:} This paper discusses sensitive topics such as suicide ideation, self-harm, rape, domestic violence, and child abuse.}</t>
  </si>
  <si>
    <t>Grace Byun; Rebecca Lipschutz; SEAN T. MINTON; Abigail Powers; Jinho D. Choi</t>
  </si>
  <si>
    <t>Grace Byun</t>
  </si>
  <si>
    <t>245-MAIN</t>
  </si>
  <si>
    <t>Surprisal from Larger Transformer-based Language Models Predicts fMRI Data More Poorly</t>
  </si>
  <si>
    <t>There has been considerable interest in using surprisal from Transformer-based language models (LMs) as predictors of human sentence processing difficulty. Recent work has observed an inverse scaling relationship between Transformers' per-word estimated probability and the predictive power of their surprisal estimates on reading times, showing that LMs with more parameters and trained on more data are less predictive of human reading times. However, these studies focused on predicting latency-based measures. Tests on brain imaging data have not shown a trend in any direction when using a relatively small set of LMs, leaving open the possibility that the inverse scaling phenomenon is constrained to latency data. This study therefore conducted a more comprehensive evaluation using surprisal estimates from 17 pre-trained LMs across three different LM families on two functional magnetic resonance imaging (fMRI) datasets. Results show that the inverse scaling relationship between models' per-word estimated probability and model fit on both datasets still obtains, resolving the inconclusive results of previous work and indicating that this trend is not specific to latency-based measures.</t>
  </si>
  <si>
    <t>Yi-Chien Lin; William Schuler</t>
  </si>
  <si>
    <t>Yi-Chien Lin</t>
  </si>
  <si>
    <t>250-MAIN</t>
  </si>
  <si>
    <t>Coordinates from Context: Using LLMs to Ground Complex Location References</t>
  </si>
  <si>
    <t>Geocoding is the task of linking a location reference to an actual geographic location and is essential for many downstream analyses of unstructured text. In this paper, we explore the challenging setting of geocoding compositional location references. Building on recent work demonstrating LLMs' abilities to reason over geospatial data, we evaluate LLMs' geospatial knowledge versus reasoning skills relevant to our task. Based on these insights, we propose an LLM-based strategy for geocoding compositional location references. We show that our approach improves performance for the task and that a relatively small fine-tuned LLM can achieve comparable performance with much larger off-the-shelf models.</t>
  </si>
  <si>
    <t>Tessa Masis; Brendan O'Connor</t>
  </si>
  <si>
    <t>Tessa Masis</t>
  </si>
  <si>
    <t>259-MAIN</t>
  </si>
  <si>
    <t>StarFlow: Generating Structured Workflow Outputs From Sketch Images</t>
  </si>
  <si>
    <t>Workflows are a fundamental component of automation in enterprise platforms, enabling the orchestration of tasks, data processing, and system integrations. Despite being widely used, building workflows can be complex, often requiring manual configuration through low-code platforms or visual programming tools. To simplify this process, we explore the use of generative foundation models, particularly vision-language models (VLMs), to automatically generate structured workflows from visual inputs. Translating hand-drawn sketches or computer-generated diagrams into executable workflows is challenging due to the ambiguity of free-form drawings, variations in diagram styles, and the difficulty of inferring execution logic from visual elements. To address this, we introduce StarFlow, a framework for generating structured workflow outputs from sketches using vision-language models. We curate a diverse dataset of workflow diagrams -- including synthetic, manually annotated, and real-world samples -- to enable robust training and evaluation. We finetune and benchmark multiple vision-language models, conducting a series of ablation studies to analyze the strengths and limitations of our approach. Our results show that finetuning significantly enhances structured workflow generation, outperforming large vision-language models on this task.</t>
  </si>
  <si>
    <t>Patrice Bechard; Chao Wang; Amirhossein Abaskohi; Juan A. Rodriguez; Christopher Pal; David Vazquez; Spandana Gella; Sai Rajeswar; Perouz Taslakian</t>
  </si>
  <si>
    <t>Patrice Bechard</t>
  </si>
  <si>
    <t>263-MAIN</t>
  </si>
  <si>
    <t>Ensuring that large language models (LLMs) are both helpful and harmless is a critical challenge, as overly strict constraints can lead to excessive refusals, while permissive models risk generating harmful content. Existing approaches, such as reinforcement learning from human feedback (RLHF) and direct preference optimization (DPO), attempt to balance these trade-offs but suffer from performance conflicts, limited controllability, and poor extendability. To address these issues, we propose Preference Vector, a novel framework inspired by task arithmetic. Instead of optimizing multiple preferences within a single objective, we train separate models on individual preferences, extract behavior shifts as preference vectors, and dynamically merge them at test time. This modular approach enables fine-grained, user-controllable preference adjustments and facilitates seamless integration of new preferences without retraining. Experiments show that our proposed Preference Vector framework improves helpfulness without excessive conservatism, allows smooth control over preference trade-offs, and supports scalable multi-preference alignment.</t>
  </si>
  <si>
    <t>Ren-Wei Liang; Chin Ting Hsu; Chan-Hung Yu; Saransh Agrawal; Shih-Cheng Huang; Chieh-Yen Lin; Shang-Tse Chen; Kuan-Hao Huang; Shao-Hua Sun</t>
  </si>
  <si>
    <t>Ren-Wei Liang</t>
  </si>
  <si>
    <t>270-MAIN</t>
  </si>
  <si>
    <t>SearchLLM: Detecting LLM Paraphrased Text by Measuring the Similarity with Regeneration of the Candidate Source via Search Engine</t>
  </si>
  <si>
    <t>With the advent of large language models (LLMs), it has become common practice for users to draft text and utilize LLMs to enhance its quality through paraphrasing. However, this process can sometimes result in the loss or distortion of the original intended meaning. Due to the human-like quality of LLM-generated text, traditional detection methods often fail, particularly when text is paraphrased to closely mimic original content. In response to these challenges, we propose a novel approach named SearchLLM, designed to identify LLM-paraphrased text by leveraging search engine capabilities to locate potential original text sources. By analyzing similarities between the input and regenerated versions of candidate sources, SearchLLM effectively distinguishes LLM-paraphrased content. SearchLLM is designed as a proxy layer, allowing seamless integration with existing detectors to enhance their performance. Experimental results across various LLMs demonstrate that SearchLLM consistently enhances the accuracy of recent detectors in detecting LLM-paraphrased text that closely mimics original content. Furthermore, SearchLLM also helps the detectors prevent paraphrasing attacks.</t>
  </si>
  <si>
    <t>Hoang-Quoc Nguyen-Son; Minh-Son Dao; Koji Zettsu</t>
  </si>
  <si>
    <t>Nguyen Son Hoang Quoc</t>
  </si>
  <si>
    <t>273-MAIN</t>
  </si>
  <si>
    <t>Mitigating Degree Bias in Hypergraphs via Attribute-as-Structure Approach</t>
  </si>
  <si>
    <t>Entity representation learning on hypergraphs is hindered by degree bias, where nodes with sparse connections suffer from limited structural information for aggregation. Prevailing ``attribute-as-feature`` approaches, which treat rich textual attributes (e.g., titles, abstracts, keywords) merely as node features, fail to address this structurally rooted problem as they do not create new aggregation pathways. To overcome this limitation, we propose a novel ``attribute-as-structure`` approach specifically designed for heterogeneous hypergraphs. Our approach integrates attributes directly into the hypergraph topology as distinct node types, creating new structural pathways to enrich sparsely connected entities while preserving semantic distinctiveness within complex many-to-many hyperedge interactions. We introduce an entity-attribute aware learning framework featuring two key innovations: (1) a specialized heterogeneous hypergraph encoder with dual attention mechanismsвЂ”self-attention for entity-entity relationships and cross-type attention for entity-attribute relevance, and (2) Attribute-Attentive Contrastive Learning (AACL), a novel objective that dynamically weighs attribute importance while explicitly aligning entity representations with their structural attributes. Experiments on multiple hypergraph datasets demonstrate consistent improvements in node classification performance, with particularly significant gains for structurally sparse nodes, demonstrating the effectiveness of our approach for degree bias mitigation.</t>
  </si>
  <si>
    <t>Ryusei Nishide; Makoto Miwa</t>
  </si>
  <si>
    <t>Ryusei Nishide</t>
  </si>
  <si>
    <t>284-MAIN</t>
  </si>
  <si>
    <t>Hacking Neural Evaluation Metrics with a Single Text</t>
  </si>
  <si>
    <t>Strongly human-correlated evaluation metrics serve as an essential compass for the development and improvement of generation models, and they must be highly reliable and robust. Recent embedding-based neural text evaluation metrics, such as COMET for the translation task, are widely used in both research and development fields. However, there is no guarantee that they yield reliable evaluation results due to the black-box nature of neural networks. To raise concerns about the reliability and safety of such metrics, we propose a method for creating a single adversarial text in the discrete space that is consistently evaluated as high-quality, regardless of the test cases, in order to identify the vulnerabilities in evaluation metrics. Our found single hub text achieved 83.1 and 79.1 COMET% on the WMT'23 and WMT'24 English-to-Japanese translation tasks, respectively, outperforming translations generated individually for each source sentence by M2M100, a general translation model. Furthermore, we confirmed that our created single hub text generalizes across multiple language pairs such as Ja--En, En--De, and De--En.</t>
  </si>
  <si>
    <t>Hiroyuki Deguchi; Katsuki Chousa; Yusuke Sakai</t>
  </si>
  <si>
    <t>Hiroyuki Deguchi</t>
  </si>
  <si>
    <t>307-MAIN</t>
  </si>
  <si>
    <t>Hey, wait a minute: on at-issue sensitivity in Language Models</t>
  </si>
  <si>
    <t>Evaluating the naturalness of dialogue in language models (LMs) is not trivial: notions of *naturalness* vary, and scalable quantitative metrics remain limited. This study leverages the linguistic notion of *at-issueness* to assess dialogue naturalness and introduces a new method: Divide, Generate, Recombine, and Compare (DGRC). DGRC (i) divides a dialogue as a prompt, (ii) generates continuations for subparts using LMs, (iii) recombines the dialogue and continuations, and (iv) compares the likelihoods of the recombined sequences. This approach mitigates bias in linguistic analyses of LMs and enables systematic testing of discourse-sensitive behavior. Applying DGRC, we find that LMs prefer to continue dialogue on at-issue content, with this effect enhanced in instruct-tuned models. They also reduce their at-issue preference when relevant cues (e.g., "Hey, wait a minute") are present. Although instruct-tuning does not further amplify this modulation, the pattern reflects a hallmark of successful dialogue dynamics.</t>
  </si>
  <si>
    <t>Sanghee J. Kim; Kanishka Misra</t>
  </si>
  <si>
    <t>Kanishka Misra</t>
  </si>
  <si>
    <t>320-MAIN</t>
  </si>
  <si>
    <t>Barriers to Discrete Reasoning with Transformers: A Survey Across Depth, Exactness, and Bandwidth</t>
  </si>
  <si>
    <t>Transformers have become the foundational architecture for a broad spectrum of sequence modeling applications, underpinning state-of-the-art systems in natural language processing, vision, and beyond. However, their theoretical limitations in discrete reasoning tasks, such as arithmetic, logical inference, and algorithmic composition, remain a critical open problem. In this survey, we synthesize recent advances from three theoretical perspectives: circuit complexity, approximation theory, and communication complexity, to clarify the structural and computational barriers that transformers face when performing symbolic computations. By connecting these established theoretical frameworks, we provide an accessible and unified account of why current transformer architectures struggle to implement exact discrete algorithms, even as they excel at pattern matching and interpolation. We review key definitions, seminal results, and illustrative examples, highlighting challenges such as depth constraints, difficulty approximating discontinuities, and bottlenecks in inter-token communication. Finally, we discuss implications for model design and suggest promising directions for overcoming these foundational limitations.</t>
  </si>
  <si>
    <t>Michelle Yuan; Weiyi Sun; Amir H. Rezaeian; Jyotika Singh; SANDIP GHOSHAL; Yao-Ting Wang; Miguel Ballesteros; Yassine Benajiba</t>
  </si>
  <si>
    <t>Yassine Benajiba</t>
  </si>
  <si>
    <t>322-MAIN</t>
  </si>
  <si>
    <t>PaperSearchQA: Learning to Search and Reason over Scientific Papers with RLVR</t>
  </si>
  <si>
    <t>Search agents are language models (LMs) that reason and search knowledge bases (or the web) to answer questions; recent methods supervise only the final answer accuracy using reinforcement learning with verifiable rewards (RLVR). Most RLVR search agents tackle general-domain QA, which limits their relevance to technical AI systems in science, engineering, and medicine. In this work we propose training agents to search and reason over scientific papers -- this tests technical question-answering, it is directly relevant to real scientists, and the capabilities will be crucial to future AI Scientist systems. Concretely, we release a search corpus of 16 million biomedical paper abstracts and construct a challenging factoid QA dataset called PaperSearchQA with 60k samples answerable from the corpus, along with benchmarks. We train search agents in this environment to outperform non-RL retrieval baselines; we also perform further quantitative analysis and observe interesting agent behaviors like planning, reasoning, and self-verification. Our corpus, datasets, and benchmarks are usable with the popular Search-R1 codebase for RLVR training; they are available on Hugging Face. Finally, our data creation methods are scalable and easily extendable to other scientific domains.</t>
  </si>
  <si>
    <t>James Burgess; Jan N. Hansen; Duo Peng; Yuhui Zhang; Alejandro Lozano; Min Woo Sun; Emma Lundberg; Serena Yeung-Levy</t>
  </si>
  <si>
    <t>James Burgess</t>
  </si>
  <si>
    <t>323-MAIN</t>
  </si>
  <si>
    <t>Exploring Speaker Anonymization Methods for Low-Resource Text-to-Speech</t>
  </si>
  <si>
    <t>We describe and compare multiple approaches for low-resource speaker anonymization. We build and evaluate speaker-anonymized text-to-speech systems for two Canadian Indigenous languages, nГЄhiyawГЄwin and SENД†OЕ¦EN, and show that cross-lingual speaker transfer via multilingual training with English data produces the best results. Our research also underscores the need for better evaluation metrics tailored to anonymization. Our code can be found at https://github.com/anonymous/anonymous</t>
  </si>
  <si>
    <t>Shenran Wang; Aidan Pine; Mengzhe Geng</t>
  </si>
  <si>
    <t>Shenran Wang</t>
  </si>
  <si>
    <t>325-MAIN</t>
  </si>
  <si>
    <t>Too Open for Opinion? Embracing Open-Endedness in Large Language Models for Social Simulation</t>
  </si>
  <si>
    <t>Large Language Models (LLMs) are increasingly used to simulate public opinion and other social phenomena. Most current studies constrain these simulations to multiple-choice or short-answer formats for ease of scoring and comparison, but such closed designs overlook the inherently generative nature of LLMs. In this position paper, we argue that open-endedness, using free-form text that captures topics, viewpoints, and reasoning processes "in" LLMs, is essential for realistic social simulation. Drawing on decades of survey methodology research and recent advances in NLP, we argue why this open-endedness is valuable in LLM social simulations, showing how it can improve measurement and design, support exploration of unanticipated views, and reduce researcher-imposed directive bias. It also captures expressiveness and individuality, aids in pretesting, and ultimately enhances methodological utility. We call for novel practices and evaluation frameworks that leverage rather than constrain the open-ended generative diversity of LLMs, creating synergies between NLP and social science.</t>
  </si>
  <si>
    <t>Bolei Ma; Yong Cao; Indira Sen; Anna-Carolina Haensch; Frauke Kreuter; Barbara Plank; Daniel Hershcovich</t>
  </si>
  <si>
    <t>Yong Cao</t>
  </si>
  <si>
    <t>327-MAIN</t>
  </si>
  <si>
    <t>Respecting Temporal-Causal Consistency: EntityвЂ“Event Knowledge Graphs for Retrieval-Augmented Generation</t>
  </si>
  <si>
    <t>Retrieval-augmented generation (RAG) based on large language models often falters on narrative documents with inherent temporal structures. Standard unstructured RAG methods rely solely on embedding-similarity matching and lack any general mechanism to encode or exploit chronological information, while knowledge graph RAG (KG-RAG) frameworks collapse every mention of an entity into a single node, erasing the evolving context that drives many queries. To formalize this challenge and draw the communityвЂ™s attention, we construct ChronoQA, a robust and discriminative QA benchmark that measures temporal, causal, and character consistency understanding in narrative documents (e.g., novels) under the RAG setting. We then introduce Entity-Event RAG (E$^{ 2}$RAG), a dual-graph framework that keeps separate entity and event subgraphs linked by a bipartite mapping, thereby preserving the temporal and causal facets needed for fine-grained reasoning. Across ChronoQA, our approach outperforms state-of-the-art unstructured and KG-based RAG baselines, with notable gains on causal and character consistency queries. E$^{ 2}$RAG therefore offers a practical path to more context-aware retrieval for tasks that require precise answers grounded in chronological information.</t>
  </si>
  <si>
    <t>Ze Yu Zhang; Zitao Li; Yaliang Li; Bolin Ding; Bryan Kian Hsiang Low</t>
  </si>
  <si>
    <t>Ze Yu Zhang</t>
  </si>
  <si>
    <t>331-MAIN</t>
  </si>
  <si>
    <t>A Tale of Two Scripts: Transliteration and Post-Correction for Judeo-Arabic</t>
  </si>
  <si>
    <t>Judeo-Arabic refers to Arabic variants historically spoken by Jewish communities across the Arab world, primarily during the Middle Ages. Unlike standard Arabic, it is written in Hebrew script by Jewish writers and for Jewish audiences. Transliterating Judeo-Arabic into Arabic script is challenging due to ambiguous letter mappings, inconsistent orthographic conventions, and frequent code-switching into Hebrew and Aramaic. In this paper, we introduce a two-step approach to automatically transliterate Judeo-Arabic into Arabic script: simple character-level mapping followed by post-correction to address grammatical and orthographic errors. We also present the first benchmark evaluation of LLMs on this task. Finally, we show that transliteration enables Arabic NLP tools to perform morphosyntactic tagging and machine translation, which would have not been feasible on the original texts.</t>
  </si>
  <si>
    <t>Juan Moreno Gonzalez; Bashar Alhafni; Nizar Habash</t>
  </si>
  <si>
    <t>Juan Moreno Gonzalez</t>
  </si>
  <si>
    <t>337-MAIN</t>
  </si>
  <si>
    <t>Multimodal Evaluation of Russian-language Architectures</t>
  </si>
  <si>
    <t>Multimodal large language models (MLLMs) are currently at the center of research attention, showing rapid progress in scale and capability, yet their intelligence, limitations, and risks remain insufficiently understood. To address these issues, particularly in the context of the Russian language, where no multimodal benchmarks currently exist, we introduce AnonymBench, an open multimodal evaluation framework for Russian-spoken architectures. The benchmark is instruction-based and encompasses default text, image, audio, and video modalities, comprising 18 newly constructed evaluation tasks for both general-purpose models and modality-specific architectures (image-to-text, video-to-text, and audio-to-text). Our contributions include: (i) a universal taxonomy of multimodal abilities; (ii) 18 datasets created entirely from scratch with attention to Russian cultural and linguistic specificity, unified prompts, and metrics; (iii) baseline results for both closed-source and open-source models; (iv) a methodology for preventing benchmark leakage, including watermarking and licenses for private sets. While our current focus is on Russian, the proposed benchmark provides a replicable methodology for constructing multimodal benchmarks in typologically diverse languages, particularly within the Slavic language family.</t>
  </si>
  <si>
    <t>Artem Chervyakov; Ulyana Isaeva; Anton Emelyanov; Artem Safin; Maria Tikhonova; Alexander Kharitonov; Yulia Lyakh; Petr Surovtsev; Denis Shevelev; Vildan Saburov; Vasily Konovalov; Elisei Rykov; Ivan Sviridov; Amina Miftakhova; Ilseyar Alimova; Alexander Panchenko; Alexander Kapitanov; Alena Fenogenova</t>
  </si>
  <si>
    <t>Artem Chervyakov, Ulyana Isaeva, Alena Fenogenova</t>
  </si>
  <si>
    <t>340-MAIN</t>
  </si>
  <si>
    <t>Don’t Judge a Book by its Cover: Testing LLMs’ Robustness Under Logical Obfuscation</t>
  </si>
  <si>
    <t>Tasks such as solving arithmetic equations, evaluating truth tables, and completing syllogisms are handled well by large language models (LLMs) in their standard form, but they often fail when the same problems are posed in logically equivalent yet obfuscated formats. To study this vulnerability, we introduce Logifus, a structure-preserving logical obfuscation framework, and, utilizing this, we present LogiQAte, a first-of-its-kind diagnostic benchmark with 1,108 questions across four reasoning tasks: (i) Obfus FOL (first-order logic entailment under equivalence-preserving rewrites), (ii) Obfus Blood Relation (family-graph entailment under indirect relational chains), (iii) Obfus Number Series (pattern induction under symbolic substitutions), and (iv) Obfus Direction Sense (navigation reasoning under altered directions and reference frames). Across all the tasks, evaluating six state-of-the-art models, we find that obfuscation severely degrades zero-shot performance, with performance dropping on average by 47% for GPT-4o, 27% for GPT-5, and 22% for reasoning model, o4-mini. Our findings reveal that current LLMs parse questions without deep understanding, highlighting the urgency of building models that genuinely comprehend and preserve meaning beyond surface form.</t>
  </si>
  <si>
    <t>Abhilekh Borah; Shubhra Ghosh; Kedar Joshi; Aditya Kumar Guru; Kripabandhu Ghosh</t>
  </si>
  <si>
    <t>Abhilekh Borah</t>
  </si>
  <si>
    <t>350-MAIN</t>
  </si>
  <si>
    <t>Korean Canonical Legal Benchmark: Toward Knowledge-Independent Evaluation of LLMs' Legal Reasoning Capabilities</t>
  </si>
  <si>
    <t>We introduce the Korean Canonical Legal Benchmark (KCL), a benchmark designed to assess language modelsвЂ™ legal-reasoning capabilities independently of domain-specific knowledge. KCL provides question-level supporting precedents enabling a more faithful disentanglement of reasoning ability from parameterized knowledge. KCL consists of two components: (1) KCL-MCQA, multiple-choice problems of 283 questions with 1,103 aligned precedents, and (2) KCL-Essay, open-ended generation problems of 169 questions with 550 aligned precedents and 2,739 instance-level rubrics for automated evaluation. Our systematic evaluation of 30+ models shows large remaining gaps, particularly in KCL-Essay, and that reasoning-specialized models consistently outperform their general-purpose counterparts.</t>
  </si>
  <si>
    <t>Hongseok Oh; Wonseok Hwang; Kyoung-Woon On</t>
  </si>
  <si>
    <t>Hongseok Oh</t>
  </si>
  <si>
    <t>352-MAIN</t>
  </si>
  <si>
    <t>Enhancing Auto-regressive Chain-of-Thought through Loop-Aligned Reasoning</t>
  </si>
  <si>
    <t>Chain-of-Thought (CoT) prompting has emerged as a powerful technique for enhancing language model's reasoning capabilities. However, generating long and correct CoT trajectories is challenging. Recent studies have demonstrated that Looped Transformers, a standard Transformer with cross-block parameter-sharing architecture, possess remarkable length generalization capabilities, but their limited generality and adaptability prevent them from serving as an alternative to auto-regressive solutions. To better leverage the strengths of Looped Transformers, we propose **RELAY** (**RE**asoning through **L**oop **A**lignment iterativel**Y**). Specifically, we align the steps of Chain-of-Thought (CoT) reasoning with loop iterations and apply intermediate supervision during the training of Looped Transformers. This additional iteration-wise supervision not only preserves the Looped Transformer's ability for length generalization but also enables it to predict CoT reasoning steps for unseen data. Therefore, we leverage this Looped Transformer to generate accurate reasoning chains for complex problems that exceed the training length, which will then be used to fine-tune an auto-regressive model. We conduct extensive experiments, and the results demonstrate the effectiveness of our approach, with significant improvements in the performance of the auto-regressive model.</t>
  </si>
  <si>
    <t>Qifan Yu; Zhenyu He; Sijie Li; zhou Xun; Jun Zhang; Jingjing Xu; Di He</t>
  </si>
  <si>
    <t>Qifan Yu</t>
  </si>
  <si>
    <t>359-MAIN</t>
  </si>
  <si>
    <t>Layer-wise Swapping for Generalizable Multilingual Safety</t>
  </si>
  <si>
    <t>Despite the rapid advancements of Large Language Models (LLMs), safety risks remain a critical challenge for low-resource languages. Existing safety datasets are predominantly English-centric, limiting progress in multilingual safety alignment. As a result, low-resource expert modelsвЂ”fine-tuned on their respective instruction datasetsвЂ”tend to exhibit higher unsafety rates compared to their high-resource counterparts. In this work, we propose a safety aware layer swapping method that transfers safety alignment from an English safety expert to low-resource language experts without additional training. To further enhance transfer ability, our method adaptively selects or blends modules based on their degree of specialization. Our approach preserves performance on general language understanding tasks while enhancing safety in the target languages. Experimental results show that the proposed method achieves comparable performance to the language expert on general benchmarks such as MMMLU, BELEBELE, and MGSM, while producing more aligned and less harmful responses on the MultiJail safety benchmark</t>
  </si>
  <si>
    <t>Hyunseo Shin; Wonseok Hwang</t>
  </si>
  <si>
    <t>Hyunseo Shin</t>
  </si>
  <si>
    <t>360-MAIN</t>
  </si>
  <si>
    <t>Measuring Idiomaticity in Text Embedding Models with $\epsilon$-compositionality</t>
  </si>
  <si>
    <t>The principle of compositionality, which concerns the construction of meaning from constituent parts, is a longstanding topic in various disciplines, most commonly associated with formal semantics. In NLP, recent studies have focused on the compositional properties of text embedding models, particularly regarding their sensitivity to idiomatic expression, as idioms have traditionally been seen as non-compositional. In this paper, we argue that it is unclear how previous work relates to formal definitions of the principle. To address this limitation, we take a theoretically motivated approach based on definitions in formal semantics. We present $\epsilon$-compositionality, a continuous relaxation of compositionality derived from these definitions. We measure $\epsilon$-compositionality on a dataset containing both idiomatic and non-idiomatic sentences, providing a theoretically motivated assessment of sensitivity to idiomaticity. Our findings indicate that most text embedding models differentiate between idiomatic and non-idiomatic phrases, although to varying degrees.</t>
  </si>
  <si>
    <t>Sondre Wold; Г‰tienne Simon; Erik Velldal; Lilja Г�vrelid</t>
  </si>
  <si>
    <t>Étienne Simon</t>
  </si>
  <si>
    <t>367-MAIN</t>
  </si>
  <si>
    <t>Computational Benchmarks for Egyptian Arabic Child Directed Speech</t>
  </si>
  <si>
    <t>We present AraBabyTalk-EGY, an enriched release of the Egyptian Arabic CHILDES corpus, that opens the child-adult interactions genre to modern Arabic NLP research. Starting from the original CHILDES recordings and IPA transcriptions of caregiverвЂ“child sessions, we (i) map each IPA token to fully diacritized Arabic script, and (ii) add core part-of-speech tags and lemmas aligned with existing dialectal Arabic morphological resources. These layers yield 26K annotated tokens suitable for both text- and speech-based NLP tasks. We provide a benchmark on morphological disambiguation and Arabic ASR. We outline lexical and morphosyntactic differences between AraBabyTalk-EGY and general Egyptian Arabic resources, underscoring the value of genre-specific training data for language acquisition studies and Arabic speech technology.</t>
  </si>
  <si>
    <t>Salam Khalifa; Abed Qaddoumi; Nizar Habash; Owen Rambow</t>
  </si>
  <si>
    <t>Salam Khalifa</t>
  </si>
  <si>
    <t>368-MAIN</t>
  </si>
  <si>
    <t>K-LegalDeID: A Benchmark Dataset and KLUEBERT-CRF for De-identification in Korean Court Judgments</t>
  </si>
  <si>
    <t>The Korean legal system mandates public access to court judgments to ensure judicial transparency. However, this requirement conflicts with privacy protection obligations due to the prevalence of Personally Identifiable Information (PII) in legal documents. To address this challenge, we introduce **K-LegalDeID**, a large-scale benchmark dataset and an efficient KLUEBERT-CRF model for de-identification for Korean court judgments. Our primary contribution is a new large-scale benchmark dataset spanning 39 legal domains, with its quality is validated by a high inter-annotator agreement (IAA) with Fleiss' Kappa of 0.7352. Our results demonstrate that a lightweight KLUEBERT-CRF model, when trained on our dataset, achieves state-of-the-art performance with an entity-level micro F1 score of 0.9923. Our end-to-end framework offers a practical and computationally efficient solution for real-world legal systems.</t>
  </si>
  <si>
    <t>Wooseok Choi; Hyungbin Kim; Yon Dohn Chung</t>
  </si>
  <si>
    <t>Wooseok Choi</t>
  </si>
  <si>
    <t>369-MAIN</t>
  </si>
  <si>
    <t>Optical Character Recognition for the International Phonetic Alphabet</t>
  </si>
  <si>
    <t>As grammar books are increasingly used as additional reference resources specifically for very low-resource languages, a significant portion comes from scans and relies on the quality of the Optical Character Recognition (OCR) tool. We focus here on a particular script used in linguistics to transcribe sounds: the International Phonetic Alphabet (IPA). We consider two data sources: actual grammar book PDFs for two languages under documentation, Japhug and Kagayanen, and a synthetically generated dataset based on Wiktionary. We compare two neural OCR frameworks, Tesseract and Calamari, and a recent large vision-language model, Qwen2.5-VL-7B, all three in an off-the-shelf setting and with fine-tuning. While their zero-shot performance is relatively poor for IPA characters in general due to character set mismatch, fine-tuning with the synthetic dataset leads to notable improvements.</t>
  </si>
  <si>
    <t>Shu Okabe; Dejvi Zelo; Alexander Fraser</t>
  </si>
  <si>
    <t>Shu Okabe</t>
  </si>
  <si>
    <t>377-MAIN</t>
  </si>
  <si>
    <t>Specialization through Collaboration: Understanding Expert Interaction in Mixture-of-Expert Large Language Models</t>
  </si>
  <si>
    <t>Mixture-of-Experts (MoE) based large language models (LLMs) have gained popularity due to their multi-task capability, where each input token activates only a subset of "expert" subnetworks. However, whether each expert can truly specialize to a certain task remains poorly understood, while activation analysis shows frequent cross-layer co-activation of experts for the same input, resembling a collaborative behavior. In this paper, we use a dictionary learning approach to show that experts in MoE LLMs form hierarchical and semantically coherent collaborative groups that correspond to specific linguistic and cognitive functions (e.g., mathematical reasoning, syntactic processing), mirroring specialized functional region observed in neuroscience. Furthermore, leveraging these discovered expert groups enables significant model compression with minimal performance degradation, outperforming existing methods by 2.5% while enabling up to 50% expert reduction. These findings provide the first systematic analysis of expert collaboration mechanisms in MoE LLMs, revealing that specialization emerges from joint activation of experts across all layers. We further developed an interactive visualization platform that enables researchers to explore expert collaboration patterns and their semantic associations.</t>
  </si>
  <si>
    <t>yuanbo tang; Naifan Zhang; Yan Tang; Meixuan Chen; Shuhan Huang; Tingyu Cao; Yang Li</t>
  </si>
  <si>
    <t>yuanbo tang</t>
  </si>
  <si>
    <t>384-MAIN</t>
  </si>
  <si>
    <t>Mind the Gap: Benchmarking LLM Uncertainty, Discrimination, and Calibration in Specialty-Aware Clinical QA</t>
  </si>
  <si>
    <t>Reliable uncertainty quantification (UQ) is essential when employing large language models (LLMs) in high-risk domains such as clinical question answering (QA). In this work, we evaluate uncertainty estimation methods for clinical QA focusing, for the first time, on eleven clinical specialties and six question types, and across ten open-source LLMs (general-purpose, biomedical, and reasoning models). We analyze score-based UQ methods, present a case study introducing a novel lightweight method based on behavioral features derived from reasoning-oriented models, and examine conformal prediction as a complementary set-based approach. Our findings reveal that uncertainty reliability is not a monolithic property, but one that depends on clinical specialty and question type due to shifts in calibration and discrimination. Our results highlight the need to select or ensemble models based on their distinct, complementary strengths and clinical use.</t>
  </si>
  <si>
    <t>Alberto Testoni; Iacer Calixto</t>
  </si>
  <si>
    <t>Alberto Testoni</t>
  </si>
  <si>
    <t>386-MAIN</t>
  </si>
  <si>
    <t>Controlling Reading Ease with Gaze-Guided Text Generation</t>
  </si>
  <si>
    <t>The way our eyes move while reading can tell us about the cognitive effort required to process the text. In the present study, we use this fact to generate texts with controllable reading ease. Our method employs a model that predicts human gaze patterns to steer language model outputs towards eliciting certain reading behaviors. We evaluate the approach in an eye-tracking experiment with native and non-native speakers of English. The results demonstrate that the method is effective at making the generated texts easier or harder to read, measured both in terms of reading times and perceived difficulty of the texts. A statistical analysis reveals that the changes in reading behavior are mostly due to features that affect lexical processing. Possible applications of our approach include generation of personalized educational material for language learning and text simplification for information accessibility.</t>
  </si>
  <si>
    <t>Andreas SГ¤uberli; Darja Jepifanova; Diego Frassinelli; Barbara Plank</t>
  </si>
  <si>
    <t>Andreas Säuberli</t>
  </si>
  <si>
    <t>389-MAIN</t>
  </si>
  <si>
    <t>PictureStories: Predicting the Task Adherence of Language Learner Answers to a Picture Story-Based Writing Task</t>
  </si>
  <si>
    <t>We investigate the automated evaluation of English language learner answers to writing prompts featuring picture stories. Automatic evaluation of such tasks is usually limited to language proficiency only, neglecting the context of the picture. Instead, our analysis focuses on task adherence, which for example allows detection of off-topic answers. Since there is a lack of suitable training and evaluation data, our first step is to build the PictureStories dataset. To this end, we develop a marking rubric that covers task adherence with respect to form and content. Six annotators mark 713 learner answers written in response to one of five picture stories. Having assembled the dataset, we then explore to what extent task adherence can be predicted automatically. Our experiments assume a scenario where no or just a few labelled answers are available for the picture story which is being marked. For content-focused criteria, few-shot prompting Qwen emerges as the best-performing method. We examine the trade-off between including the story image vs. example answers in the prompt and find that examples suffice in many cases. For form-focused criteria, we find that it is beneficial to finetune models across prompts. For some LLMs, few-shot prompting results may look promising on the surface, but we demonstrate that a much simpler method can go just as far when shown the same examples.</t>
  </si>
  <si>
    <t>Marie Bexte; Andrew Caines; Diane Nicholls; Paula Buttery; Torsten Zesch</t>
  </si>
  <si>
    <t>Marie Bexte</t>
  </si>
  <si>
    <t>392-MAIN</t>
  </si>
  <si>
    <t>Assessing the Impact of Typological Features on Multilingual Machine Translation in the Age of Large Language Models</t>
  </si>
  <si>
    <t>Despite major advances in multilingual modeling, large quality disparities persist across languages. Besides the obvious role of training data representation, typological properties have also been proposed to determine the intrinsic difficulty of modeling a language. The existing evidence, however, is mostly based on small monolingual language models or bilingual translation models trained from scratch. We expand on this line of work by analyzing two large pre-trained multilingual translation models, NLLB-200 and Tower+, which are state-of-the-art representatives of encoder-decoder and decoder-only machine translation, respectively. Based on a broad set of languages, we find that target language typology drives translation quality of the NLLB model, even after controlling for more trivial factors, such as data resourcedness and writing script. Additionally, languages with certain typological properties benefit more from a wider search of the output space, suggesting that such languages could benefit from alternative decoding strategies beyond the standard left-to-right beam search. By contrast, variations in translation quality of the LLM-based Tower+ model remain largely unexplained by our predictors. To facilitate further research in this area, we release a set of fine-grained typological properties for 212 languages of the FLORES+ MT evaluation benchmark.</t>
  </si>
  <si>
    <t>Vitalii Hirak; Jaap Jumelet; Arianna Bisazza</t>
  </si>
  <si>
    <t>Vitalii Hirak</t>
  </si>
  <si>
    <t>400-MAIN</t>
  </si>
  <si>
    <t>Disentangling Knowledge and Reasoning in Biomedical QA Benchmarks</t>
  </si>
  <si>
    <t>Medical reasoning in large language models seeks to replicate clinicians' cognitive processes in interpreting patient data and making diagnostic decisions. However, widely used benchmarksвЂ”such as MedQA, MedMCQA, and PubMedQAвЂ”mix questions that require multi-step reasoning with those answerable through factual recall, complicating evaluation. We demonstrate this by training a PubMedBERT-based classifier on expert-curated labels and applying it to 11 widely used biomedical QA benchmarks, where we find that only 32.8% of the questions require multi-step reasoning, indicating that current evaluations largely measure recall. This stratified evaluation of biomedical models (HuatuoGPT-o1, MedReason, m1) and general-domain models (DeepSeek-R1, o4-mini, Qwen3) reveals consistently lower performance on reasoning versus knowledge (e.g., HuatuoGPT-o1: 56.9% vs. 44.8%). Beyond accuracy, we assess robustness through adversarial evaluations in which models are prefixed with uncertainty-inducing statements; biomedical reasoning models degrade sharply in this setting (e.g., MedReason: 50.4% в†’ 24.4%), with declines especially pronounced on reasoning-heavy questions. Finally, we show that fine-tuning on high-quality reasoning examples augmented with adversarial traces, followed by reinforcement learning with GRPO, improves both robustness and accuracy across knowledge and reasoning subsets.</t>
  </si>
  <si>
    <t>Rahul Thapa; Qingyang Wu; Kevin Wu; Harrison G Zhang; Angela Zhang; Eric Wu; Haotian Ye; James Zou</t>
  </si>
  <si>
    <t>Rahul Thapa</t>
  </si>
  <si>
    <t>409-MAIN</t>
  </si>
  <si>
    <t>Form and Meaning in Intrinsic Multilingual Evaluations</t>
  </si>
  <si>
    <t>Intrinsic evaluation metrics for conditional language models, such as perplexity or bits-per-character, are widely used in both mono- and multilingual settings. These metrics are rather straightforward to use and compare in monolingual setups, but rest on a number of assumptions in multilingual setups. One such assumption is that comparing the perplexity of CLMs on parallel sentences is indicative of their quality since the information content (here understood as the semantic meaning) is the same. However, the metrics are inherently measuring information content in the information-theoretic sense. We make this and other such assumptions explicit and discuss their implications. We perform experiments with six metrics on two multi-parallel corpora both with mono- and multilingual models. Ultimately, we find that current metrics are not universally comparable. We look at the form-meaning debate to provide some explanation for this.</t>
  </si>
  <si>
    <t>Wessel Poelman; Miryam de Lhoneux</t>
  </si>
  <si>
    <t>Wessel Poelman</t>
  </si>
  <si>
    <t>410-MAIN</t>
  </si>
  <si>
    <t>What Breaks Knowledge Graph based RAG? Empirical Insights into Reasoning under Incomplete Knowledge</t>
  </si>
  <si>
    <t>Knowledge Graph-based Retrieval-Augmented Generation (KG-RAG) is an increasingly explored approach for combining the reasoning capabilities of large language models with the structured evidence of knowledge graphs. However, current evaluation practices fall short: existing benchmarks often include questions that can be directly answered using existing triples in KG, making it unclear whether models perform reasoning or simply retrieve answers directly. Moreover, inconsistent evaluation metrics and lenient answer matching criteria further obscure meaningful comparisons. In this work, we introduce a general method for constructing benchmarks, together with an evaluation protocol, to systematically assess KG-RAG methods under knowledge incompleteness. Our empirical results show that current KG-RAG methods have limited reasoning ability under missing knowledge, often rely on internal memorization, and exhibit varying degrees of generalization depending on their design.</t>
  </si>
  <si>
    <t>Dongzhuoran Zhou; Yuqicheng Zhu; Xiaxia Wang; Hongkuan Zhou; Yuan He; Jiaoyan Chen; Steffen Staab; Evgeny Kharlamov</t>
  </si>
  <si>
    <t>Dongzhuoran Zhou</t>
  </si>
  <si>
    <t>411-MAIN</t>
  </si>
  <si>
    <t>Assessing Web Search Credibility and Response Groundedness in Chat Assistants</t>
  </si>
  <si>
    <t>Chat assistants increasingly integrate web search functionality, enabling them to retrieve and cite external sources. While this promises more reliable answers, it also raises the risk of amplifying misinformation from low-credibility sources. In this paper, we introduce a novel methodology for evaluating assistants' web search behavior, focusing on source credibility and the groundedness of responses with respect to cited sources. Using 100 claims across five misinformation-prone topics, we assess GPT-4o, GPT-5, Perplexity, and Qwen Chat. Our findings reveal differences between the assistants, with Perplexity achieving the highest source credibility, whereas GPT-4o exhibits elevated citation of non-credibility sources on sensitive topics. This work provides the first systematic comparison of commonly used chat assistants for fact-checking behavior, offering a foundation for evaluating AI systems in high-stakes information environments.</t>
  </si>
  <si>
    <t>Ivan Vykopal; MatГєЕЎ Pikuliak; Simon Ostermann; Marian Simko</t>
  </si>
  <si>
    <t>Ivan Vykopal</t>
  </si>
  <si>
    <t>413-MAIN</t>
  </si>
  <si>
    <t>How DDAIR you? Disambiguated Data Augmentation for Intent Recognition</t>
  </si>
  <si>
    <t>Large Language Models (LLMs) are effective for data augmentation in classification tasks like intent detection. In some cases, they inadvertently produce examples that are ambiguous with regard to untargeted classes. We present DDAIR (Disambiguated Data Augmentation for Intent Recognition) to mitigate this problem. We use Sentence Transformers to detect ambiguous class-guided augmented examples generated by LLMs for intent recognition in low-resource scenarios. We identify synthetic examples that are semantically more similar to another intent than to their target one. We also provide an iterative re-generation method to mitigate such ambiguities. Our findings show that sentence embeddings effectively help to (re)generate less ambiguous examples, and suggest promising potential to improve classification performance in scenarios where intents are loosely or broadly defined.</t>
  </si>
  <si>
    <t>Galo Castillo-LГіpez; GaГ«l de Chalendar; Alexis Lombard; Nasredine Semmar</t>
  </si>
  <si>
    <t>Galo Castillo-López</t>
  </si>
  <si>
    <t>417-MAIN</t>
  </si>
  <si>
    <t>NeuronMoE: Efficient Cross-Lingual Extension via Neuron-Guided Mixture-of-Experts</t>
  </si>
  <si>
    <t>How should we allocate expert parameters when extending language models to new languages? Current Mixture-of-Experts (MoE) approaches use layer-level similarity heuristics, but language processing happens at individual neurons. We propose $\textbf{NeuronMoE}$, a method that analyzes language-specific neurons across all transformer components to guide expert allocation per layer based on empirically measured cross-lingual neuron diversity. Applied to LLaMA-3.2-3B for low-resource languages (Greek, Turkish, and Hungarian), this approach achieves 40% average parameter reduction (47-50 vs. 84 experts) while matching layer-wise baseline performance. Remarkably, we find that low-resource language experts independently develop neuron specialization patterns mirroring the high-resource languageвЂ”concentrated in early and late layersвЂ”revealing universal architectural principles in how multilingual models organize linguistic knowledge. Our approach generalizes across architectures (validated on Qwen) and shows that allocation strategy matters more than total expert count.</t>
  </si>
  <si>
    <t>Rongzhi Li; Hitomi Yanaka</t>
  </si>
  <si>
    <t>Rongzhi Li</t>
  </si>
  <si>
    <t>421-MAIN</t>
  </si>
  <si>
    <t>From Emotion to Expression: Theoretical Foundations and Resources for Fear Speech</t>
  </si>
  <si>
    <t>Few forces rival fear in their ability to mobilize societies, distort communication, and reshape collective behavior. In computational linguistics, fear is primarily studied as an emotion, but not as a distinct form of speech. Fear speech content is widespread and growing, and often outperforms hate-speech content in reach and engagement because it appears "civiler" and evades moderation. Yet the computational study of fear speech remains fragmented and under-resourced. This can be understood by recognizing that fear speech is a phenomenon shaped by contributions from multiple disciplines. In this paper, we bridge cross-disciplinary perspectives by comparing theories of fear from psychology, political science, communication science, and linguistics. Building on this, we review existing definitions. We follow up with a survey of datasets from related research areas and propose a taxonomy that consolidates different dimensions of fear for studying fear speech. By reviewing current datasets and defining core concepts, our work offers both theoretical and practical guidance for creating datasets and advancing fear speech research.</t>
  </si>
  <si>
    <t>Vigneshwaran Shankaran; Gabriella Lapesa; Claudia Wagner</t>
  </si>
  <si>
    <t>Vigneshwaran Shankaran</t>
  </si>
  <si>
    <t>423-MAIN</t>
  </si>
  <si>
    <t>AdaptBPE: From General Purpose to Specialized Tokenizers</t>
  </si>
  <si>
    <t>Subword tokenization methods, such as Byte-Pair Encoding (BPE), significantly impact the performance and efficiency of large language models (LLMs). The standard approach involves training a general-purpose tokenizer that uniformly processes all textual data during both training and inference. However, the use of a generic set of tokens can incur inefficiencies when applying the model to specific domains or languages. To address this limitation, we propose a post-training adaptation strategy that selectively replaces low-utility tokens with more relevant ones based on their frequency in an adaptation corpus. Our algorithm identifies the token inventory that most effectively encodes the adaptation corpus for a given target vocabulary size. Extensive experiments on generation and classification tasks across multiple languages demonstrate that our adapted tokenizers compress test corpora more effectively than baselines using the same vocabulary size. This method serves as a lightweight adaptation mechanism, akin to a vocabulary fine-tuning process, enabling optimized tokenization for specific domains or tasks.</t>
  </si>
  <si>
    <t>Vijini Pilana Liyanage; FranГ§ois Yvon</t>
  </si>
  <si>
    <t>Pilana Liyanage Vijini Supun Keerthisrini</t>
  </si>
  <si>
    <t>424-MAIN</t>
  </si>
  <si>
    <t>Measuring Linguistic Competence of LLMs on Indigenous Languages of the Americas</t>
  </si>
  <si>
    <t>This paper presents an evaluation framework for probing large language modelsвЂ™ linguistic knowledge of Indigenous languages of the Americas using zero- and few-shot prompting. The framework consists of three tasks: (1) language identification, (2) cloze completion of Spanish sentences supported by Indigenous-language translations, and (3) grammatical feature classification. We evaluate models from five major families (GPT, Gemini, DeepSeek, Qwen, and LLaMA) on 13 Indigenous languages, including Bribri, Guarani, and Nahuatl. The results show substantial variation across both languages and model families. While a small number of model-language combinations demonstrate consistently stronger performance across tasks, many others perform near chance, highlighting persistent gaps in current modelsвЂ™ abilities on Indigenous languages.</t>
  </si>
  <si>
    <t>Justin Vasselli; Arturo MP; Frederikus Hudi; Haruki Sakajo; Taro Watanabe</t>
  </si>
  <si>
    <t>Justin Vasselli</t>
  </si>
  <si>
    <t>425-MAIN</t>
  </si>
  <si>
    <t>Reassessing Active Learning Adoption in Contemporary NLP: A Community Survey</t>
  </si>
  <si>
    <t>Supervised learning relies on data annotation which usually is time-consuming and therefore expensive. A longstanding strategy to reduce annotation costs is active learning, an iterative process, in which a human annotates only data instances deemed informative by a model. Research in active learning has made considerable progress, especially with the rise of large language models (LLMs). However, we still know little about how these remarkable advances have translated into real-world applications, or contributed to removing key barriers to active learning adoption. To fill in this gap, we conduct an online survey in the NLP community to collect previously intangible insights on current implementation practices, common obstacles in application, and future prospects in active learning. We also reassess the perceived relevance of data annotation and active learning as fundamental assumptions. Our findings show that data annotation is expected to remain important and active learning to stay highly relevant while benefiting from LLMs. Consistent with a community survey from over 15 years ago, three key challenges yet persist---setup complexity, uncertain cost reduction, and tooling---for which we propose alleviation strategies. We publish an anonymized version of the dataset.</t>
  </si>
  <si>
    <t>Julia Romberg; Christopher SchrГ¶der; Julius Gonsior; Katrin Tomanek; Fredrik Olsson</t>
  </si>
  <si>
    <t>Julia Romberg</t>
  </si>
  <si>
    <t>430-MAIN</t>
  </si>
  <si>
    <t>Beyond вЂњNot Novel EnoughвЂќ: Enriching Scholarly Critique with LLM-Assisted Feedback</t>
  </si>
  <si>
    <t>Novelty assessment is a central yet understudied aspect of peer review, particularly in high-volume fields like NLP where reviewer capacity is increasingly strained. We present a structured approach for automated novelty evaluation that models expert reviewer behavior through three stages: content extraction from submissions, retrieval and synthesis of related work, and structured comparison for evidence-based assessment. Our method is informed by analysis of human-written novelty reviews and captures key patterns such as independent claim verification and contextual reasoning. Evaluated on 182 ICLR 2025 submissions with human annotated reviewer novelty assessments, the approach achieves 86.5% alignment with human reasoning and 75.3% agreement on novelty conclusionsвЂ”substantially outperforming existing LLM-based baselines. The method produces detailed, literature-aware analyses and improves consistency over ad hoc reviewer judgments. These results highlight the potential for structured LLM-assisted approaches to support more rigorous and transparent peer review without displacing human expertise. Data and code are made available.</t>
  </si>
  <si>
    <t>OSAMA MOHAMMED AFZAL; Preslav Nakov; Tom Hope; Iryna Gurevych</t>
  </si>
  <si>
    <t>Preslav Nakov</t>
  </si>
  <si>
    <t>432-MAIN</t>
  </si>
  <si>
    <t>AfriVox: Probing Multilingual and Accent Robustness of Speech LLMs</t>
  </si>
  <si>
    <t>Recent advances in multimodal and speech-native large language models (LLMs) have delivered impressive speech recognition, translation, understanding, and question-answering capabilities for high-resource languages. However, African languages and non-native French or English accents remain dramatically underrepresented in benchmarks limiting the understanding and applicability of leading LLMs for millions of francophone and anglophone users in low-resource settings. We presents AfriVox, an open-source benchmark (including novel domain-specific and unscripted datasets) across 20 African languages, African-accented French, Arabic, and 100+ African English accents, contrasting leading multimodal speech LLMs with traditional unimodal automatic speech transcription (ASR) and translation (AST) models. Our analysis reveals significant language coverage variation, surprising LLM translation performance gains (e.g. Gemini), robustness concerns with unscripted speech, and substantial performance disparities for "supported" African languages. We profile the strengths, limitations, and language support of each model, and conduct the first targeted fine-tuning of a modern speech LLM (Qwen2.5-Omni) for three Nigerian languages, exceeding SOTA, and achieving up to 54% relative WER reduction and significant BLEU gains, offering practical guidance for implementers seeking to serve local language users.</t>
  </si>
  <si>
    <t>Busayo Awobade; Mardhiyah Sanni; Tassallah Abdullahi; Chibuzor Okocha; Kelechi Ezema; Devendra Deepak Kayande; Lukman Enegi Ismaila; Tobi Olatunji; Gloria Ashiya Katuka</t>
  </si>
  <si>
    <t>Busayo Awobade</t>
  </si>
  <si>
    <t>435-MAIN</t>
  </si>
  <si>
    <t>ReMedQA: Are We Done With Medical Multiple-Choice Benchmarks?</t>
  </si>
  <si>
    <t>Medical multiple-choice question answering (MCQA) benchmarks report near-human accuracy, with some approaching saturation and fueling claims of clinical readiness. Yet a single accuracy score is a poor proxy for competence: models that change answers under minor perturbations cannot be considered reliable. We argue that reliability underpins accuracyвЂ“only consistent predictions make correctness meaningful. To address this, we release ReMedQA, a benchmark suite that augments three standard medical MCQA datasets with open-answer variants and systematically perturbed items. Building on this design, we introduce ReAcc and ReCon, two reliability metrics: ReAcc measures the proportion of questions answered correctly across all variations, while ReCon measures the proportion answered consistently regardless of correctness. Our evaluation shows that high MCQA accuracy masks low reliability: models remain sensitive to format and perturbation changes, and domain specialization offers no robustness gain. MCQA further underestimates smaller models while inflating large ones that exploit structural cuesвЂ“with some producing correct answers without seeing the question. These findings show that, despite near-saturated accuracy, we are not yet done with medical multiple-choice benchmarks.</t>
  </si>
  <si>
    <t>Alessio Cocchieri; Luca Ragazzi; Giuseppe Tagliavini; Gianluca Moro</t>
  </si>
  <si>
    <t>Luca Ragazzi</t>
  </si>
  <si>
    <t>441-MAIN</t>
  </si>
  <si>
    <t>Can activation steering support language-agnostic reasoning in language models? A study on syllogistic inferences</t>
  </si>
  <si>
    <t>Large Language Models (LLMs) struggle with syllogistic reasoning, frequently conflating content plausibility with logical validity. This well-known content effect undermines their capacity to act as reliable deductive reasoners, particularly in multilingual contexts where both linguistic variability and world knowledge may exacerbate biases. Prior work shows that prompting and tuning interventions can alleviate these issues only partially, leaving models vulnerable to semantic interference. To make reasoning more consistent, robust, and transferable across languages, we investigate the use of activation steeringвЂ”an inference-time intervention that modulates internal representations to suppress content effects. Our experiments demonstrate that steering techniques constructed for English-based syllogisms generalise effectively to multilingual datasets, yielding higher formal reasoning accuracy while minimally affecting language modelling performance. Moreover, steering supports partial transfer to out-of-distribution tasks, highlighting its potential as a scalable mechanism for content-invariant reasoning. These findings advance the prospect of developing LLMs that can serve as reliable soft reasoners across language landscapes.</t>
  </si>
  <si>
    <t>Gabriele Maraia; Leonardo Ranaldi; Marco Valentino; Fabio Massimo Zanzotto</t>
  </si>
  <si>
    <t>446-MAIN</t>
  </si>
  <si>
    <t>Morpheme Matters: Morpheme-Based Subword Tokenization for Korean Language Models</t>
  </si>
  <si>
    <t>Tokenization plays a crucial role in the performance of language models. However, most existing tokenizers rely on frequency-based segmentation, which fails to capture the morphological structure of languages and often leads to inefficient token representations. In this study, we propose a novel tokenization method that emphasizes the importance of Korean morphological structures in eojeol (Korean spacing unit). This method is designed to accommodate both inter-eojeol segmentation and intra-eojeol segmentation, enabling the selection of subwords based on morphemes. We pretrained a language model using the proposed method and evaluated its performance on Korean benchmark tasks. Experimental results demonstrate that the proposed method generally outperforms existing approaches. Notably, it produces significantly fewer tokens per input sequence, indicating its effectiveness and efficiency for Korean language modeling.</t>
  </si>
  <si>
    <t>DongHyeok Lee; Jeongyeon Park; Kyungbeen Cho; Jae Sung Lee</t>
  </si>
  <si>
    <t>Donghyeok Lee</t>
  </si>
  <si>
    <t>447-MAIN</t>
  </si>
  <si>
    <t>SPARTA: Evaluating Reasoning Segmentation Robustness through Black-Box Adversarial Paraphrasing in Text Autoencoder Latent Space</t>
  </si>
  <si>
    <t>Multimodal large language models (MLLMs) have shown impressive capabilities in vision-language tasks such as reasoning segmentation, where models generate segmentation masks based on textual queries. While prior work has primarily focused on perturbing image inputs, semantically equivalent textual paraphrasesвЂ”crucial in real-world applications where users express the same intent in varied waysвЂ”remain underexplored. To address this gap, we introduce a novel adversarial paraphrasing task: generating grammatically correct paraphrases that preserve the original query meaning while degrading segmentation performance. To evaluate the quality of adversarial paraphrases, we develop a comprehensive automatic evaluation protocol validated with human studies. Furthermore, we introduce SPARTAвЂ”a black-box, sentence-level optimization method that operates in the low-dimensional semantic latent space of a text autoencoder, guided by reinforcement learning. SPARTA achieves significantly higher success rates, outperforming prior methods by up to 2x on both the ReasonSeg and LLMSeg-40k datasets. We use SPARTA and competitive baselines to assess the robustness of advanced reasoning segmentation models. We reveal that they remain vulnerable to adversarial paraphrasingвЂ”even under strict semantic and grammatical constraints. All code and data will be released publicly upon acceptance.</t>
  </si>
  <si>
    <t>Viktoriia Zinkovich; Anton Antonov; Andrei Spiridonov; Denis Shepelev; Andrey Moskalenko; Daria Pugacheva; Elena Tutubalina; Andrey Kuznetsov; Vlad Shakhuro</t>
  </si>
  <si>
    <t>Viktoriia Zinkovich</t>
  </si>
  <si>
    <t>451-MAIN</t>
  </si>
  <si>
    <t>Knowledge Augmentation Enhances Token Classification for Recipe Understanding</t>
  </si>
  <si>
    <t>In this work, we propose an entity type-specific and knowledge-augmented token classification framework designed to improve encoder models' performance on recipe texts. Our empirical analysis shows that this approach achieves state-of-the-art (SOTA) results on 5 out of 7 benchmark recipe datasets, significantly outperforming traditional token classification methods. We introduce a novel methodology leveraging curated domain-specific knowledge contexts to guide encoder models such as BERT and RoBERTa, which we refer to as RecipeBERT-KA and RecipeRoBERTa-KA. Additionally, we release a newly reprocessed entity type-specific and knowledge-enriched dataset that merges seven widely used food datasets, making it the largest annotated food-related dataset to date. Comparative analysis with SOTA large language models (GPT-4o, Mistral-7B, LLaMA 3-13B and LLaMA 3-70B) highlights the practical advantages of our smaller and specialised models. Finally, we analyse the impact of the different knowledge contexts, our models' potential for transfer learning, the effect of combining the datasets and scenarios where traditional token classification may still perform competitively, offering nuanced insight into method selection.</t>
  </si>
  <si>
    <t>Nuhu Ibrahim; Robert Stevens; Riza Batista-Navarro</t>
  </si>
  <si>
    <t>Nuhu Ibrahim</t>
  </si>
  <si>
    <t>452-MAIN</t>
  </si>
  <si>
    <t>Communication Enables Cooperation in LLM Agents: A Comparison with Curriculum-Based Approaches</t>
  </si>
  <si>
    <t>Eliciting cooperation in multi-agent LLM systems is critical for AI alignment. We investigate two approaches: direct communication and curriculum learning. In a 4-player Stag Hunt, a one-word "cheap talk" channel increases cooperation from 0% to 48.3%, demonstrating communication as a robust coordination mechanism. In contrast, we find that curriculum learning is highly sensitive to design choices: our pedagogical curriculum through progressively complex games reduced agent payoffs by 27.4% in an Iterated Public Goods Game with Punishment. Qualitative analysis reveals that curricula emphasizing defection-equilibrium games can induce "learned pessimism" in agents. These findings suggest that for coordination problems, simple communication protocols may be more reliable than experience-based training, and that curriculum design for social dilemmas requires careful attention to the strategic lessons embedded in game sequences.</t>
  </si>
  <si>
    <t>Hachem Madmoun; Salem Lahlou</t>
  </si>
  <si>
    <t>Salem Lahlou</t>
  </si>
  <si>
    <t>454-MAIN</t>
  </si>
  <si>
    <t>Argumentation and Judgement Factors: LLM-based Discovery and Application in Insurance Disputes</t>
  </si>
  <si>
    <t>In this work, we focus on discovery of legal factors for a specific case type under consideration (e.g., vehicle insurance disputes). We refer to these legal factors more explicitly as "Argumentation and Judgement Factors" (AJFs). AJFs encode specific legal knowledge that is important for legal argumentation and judicial decision making. We propose a multi-step approach for discovering a list of AJFs for a given case type using a set of relevant legal documents (e.g., past judgements, relevant acts) and Symbolic Knowledge Distillation (SKD) from a Large Language Model (LLM). We propose a novel geneRatE-CRitic-reviEW (RECREW) prompting strategy for effective SKD. We construct and evaluate the discovered list of AJFs on two different types of cases (auto-insurance and life insurance) and show their utility in a dispute resolution application.</t>
  </si>
  <si>
    <t>Basit Ali; Anubhav sinha; Nitin Ramrakhiyani; Sachin Pawar; Girish Keshav Palshikar; Manoj Apte</t>
  </si>
  <si>
    <t>Anubhav Sinha</t>
  </si>
  <si>
    <t>458-MAIN</t>
  </si>
  <si>
    <t>DETECT: Determining Ease and Textual Clarity of German Text Simplifications</t>
  </si>
  <si>
    <t>Current evaluation of German automatic text simplification (ATS) relies on general-purpose metrics such as SARI, BLEU, and BERTScore, which insufficiently capture simplification quality in terms of simplicity, meaning preservation, and fluency. While specialized metrics like LENS have been developed for English, corresponding efforts for German have lagged behind due to the absence of human-annotated corpora. To close this gap, we introduce DETECT, the first German-specific metric that holistically evaluates ATS quality across all three dimensions of simplicity, meaning preservation, and fluency, and is trained entirely on synthetic large language model (LLM) responses. Our approach adapts the LENS framework to German and extends it with (i) a pipeline for generating synthetic quality scores via LLMs, enabling dataset creation without human annotation, and (ii) an LLM-based refinement step for aligning grading criteria with simplification requirements. To the best of our knowledge, we also construct the largest German human evaluation dataset for text simplification to validate our metric directly. Experimental results show that DETECT achieves substantially higher correlations with human judgments than widely used ATS metrics, with particularly strong gains in meaning preservation and fluency. Beyond ATS, our findings highlight both the potential and the limitations of LLMs for automatic evaluation and provide transferable guidelines for general language accessibility tasks.</t>
  </si>
  <si>
    <t>Maria Korobeynikova; Alessia Battisti; Lukas Fischer; Yingqiang Gao</t>
  </si>
  <si>
    <t>Maria Korobeynikova</t>
  </si>
  <si>
    <t>462-MAIN</t>
  </si>
  <si>
    <t>Test-Time Scaling of Reasoning Models for Machine Translation</t>
  </si>
  <si>
    <t>Test-time scaling (TTS) has enhanced the performance of Reasoning Models (RMs) on various tasks such as math and coding, yet its efficacy in machine translation (MT) remains underexplored. This paper investigates whether increased inference-time computation improves translation quality. We evaluate 12 RMs across a diverse suite of MT benchmarks spanning multiple domains, examining three scenarios: direct translation, forced-reasoning extrapolation, and post-editing. Our findings show that for general-purpose RMs, TTS provides limited and inconsistent benefits for direct translation, with performance quickly plateauing. However, the effectiveness of TTS is unlocked by domain-specific fine-tuning, which aligns a modelвЂ™s reasoning process with task requirements, leading to consistent improvements up to an optimal, self-determined reasoning depth. We also find that forcing a model to reason beyond its natural stopping point consistently degrades translation quality. In contrast, TTS proves highly effective in a post-editing context, reliably turning self-correction into a beneficial process. These results indicate that the value of inference-time computation in MT lies not in enhancing single-pass translation with general models, but in targeted applications like multi-step, self-correction workflows and in conjunction with task-specialized models.</t>
  </si>
  <si>
    <t>Zihao Li; Shaoxiong Ji; JГ¶rg Tiedemann</t>
  </si>
  <si>
    <t>Zihao Li</t>
  </si>
  <si>
    <t>468-MAIN</t>
  </si>
  <si>
    <t>Tug-of-war between idioms' figurative and literal interpretations in LLMs</t>
  </si>
  <si>
    <t>Idioms present a unique challenge for language models due to their non-compositional figurative interpretations, which often strongly diverge from the idiom's literal interpretation. In this paper, we employ causal tracing to systematically analyze how pretrained causal transformers deal with this ambiguity. We localize three mechanisms: (i) Early sublayers and specific attention heads retrieve figurative interpretation, while suppressing literal interpretation. (ii) When disambiguating context precedes the idiom, the model leverages it from the earliest layer and later layers refine the interpretation if the context conflicts with the retrieved interpretation. (iii) Then, selective, competing pathways carry both interpretations: an intermediate pathway that prioritizes the figurative interpretation and a parallel direct route that favors literal interpretation, ensuring that both readings remain available. Our findings provide mechanistic evidence for idiom comprehension in autoregressive transformers.</t>
  </si>
  <si>
    <t>Soyoung Oh; Xinting Huang; Mathis Pink; Michael Hahn; Vera Demberg</t>
  </si>
  <si>
    <t>Soyoung Oh</t>
  </si>
  <si>
    <t>469-MAIN</t>
  </si>
  <si>
    <t>Do LLM hallucination detectors suffer from low-resource effect?</t>
  </si>
  <si>
    <t>LLMs, while outperforming humans in a wide range of tasks, can still fail in unanticipated ways. We focus on two pervasive failure modes: (i) hallucinations, where models produce incorrect information about the world, and (ii) the low-resource effect, where the models show impressive performance in high-resource languages like English but the performance degrades significantly in low-resource languages like Bengali. We study the intersection of these issues and ask: do hallucination detectors suffer from the low-resource effect? We conduct experiments on five tasks across three domains (factual recall, STEM, and Humanities). Experiments with four LLMs and three hallucination detectors reveal a curious finding: As expected, the task accuracies in low-resource languages experience large drops (compared to English). However, the drop in hallucination detection accuracy is often several times smaller than the drop in task accuracy. Our finding suggests that even in low-resource languages, the internal mechanisms of LLMs might encode valuable signals about their uncertainty.</t>
  </si>
  <si>
    <t>Debtanu Datta; Mohan Kishore Chilukuri; Yash Kumar; Saptarshi Ghosh; Muhammad Bilal Zafar</t>
  </si>
  <si>
    <t>Debtanu Datta</t>
  </si>
  <si>
    <t>475-MAIN</t>
  </si>
  <si>
    <t>Mind Your Special Tokens! On the Importance of Dedicated Sequence-End Tokens in Vision-Language Embedding Models</t>
  </si>
  <si>
    <t>Large Vision-Language Models (LVLMs), trained by aligning visual encoders to LLMs on extensive vision-language data, demonstrate impressive performance across a broad variety of tasks that require understanding of both visual and textual inputs. Acknowledging this, recent work proposed to post-hoc convert generative LVLMs into vision-language encoders (VLEs) via supervised contrastive learning objectives. This type of training enables LVLMs to produce better representations, i.e., embeddings for image and text input, used in retrieval and (semantic) similarity tasks. Having observed that this type of VLEs (i.e., LVLMs turned into encoders) commonly employ last-token pooling in downstream tasks, without using special sequence-end tokens, in this focused contribution, we study the effect of pooling strategies on VLEs' downstream performance. We empirically show that, in contrast to mean pooling, last-token pooling (without special sequence-end tokens) makes VLEs highly sensitive to end-of-input artifacts in fine-tuning and inference data, e.g., whether input sequences end with punctuation or newline characters. Finally, we show that introducing the special end-of-sequence token removes this sensitivity and makes VLEs robust to formatting artifacts of input text.</t>
  </si>
  <si>
    <t>Elio Musacchio; Giovanni Semeraro; Goran GlavaЕЎ</t>
  </si>
  <si>
    <t>Elio Musacchio</t>
  </si>
  <si>
    <t>484-MAIN</t>
  </si>
  <si>
    <t>Coupling Local Context and Global Semantic Prototypes via a Hierarchical Architecture for Rhetorical Roles Labeling</t>
  </si>
  <si>
    <t>Rhetorical Role Labeling (RRL) identifies the functional role of each sentence in a document, a key task for discourse understanding in domains such as law and medicine. While hierarchical models capture local dependencies effectively, they are limited in modeling global, corpus-level features. To address this limitation, we propose two prototype-based methods that integrate local context with global representations. Prototype-Based Regularization (PBR) learns soft prototypes through a distance-based auxiliary loss to structure the latent space, while Prototype-Conditioned Modulation (PCM) constructs corpus-level prototypes and injects them during training and inference. Given the scarcity of RRL resources, we introduce SCOTUS-Law, the first dataset of U.S. Supreme Court opinions annotated with rhetorical roles at three levels of granularity: category, rhetorical function, and step. Experiments on legal, medical, and scientific benchmarks show consistent improvements over strong baselines, with $\sim4$ Macro-F1 gains on low-frequency roles. We further analyze the implications in the era of Large Language Models and complement our findings with expert evaluation.</t>
  </si>
  <si>
    <t>Anas Belfathi; Nicolas Hernandez; Monceaux Laura; Warren Bonnard; Mary Catherine LavissiГЁre; Christine Jacquin; Richard Dufour</t>
  </si>
  <si>
    <t>Anas Belfathi</t>
  </si>
  <si>
    <t>486-MAIN</t>
  </si>
  <si>
    <t>Safe-Unsafe Concept Separation Emerges from a Single Direction in Language Models Activation Space</t>
  </si>
  <si>
    <t>Deploying Large Language Models (LLMs) in high-stakes applications requires reliable safeguarding mechanisms. Existing approaches typically rely on costly fine-tuning or reinforcement learning from human feedback, which are resource-intensive and difficult to adapt. We propose a lightweight, concept activation-based methodology that identifies the layer where safe and unsafe concepts are maximally separable in a pretrained modelвЂ™s representation space. By selecting this optimal layer and training a simple linear classifier on its activations, we enable effective safety detection without modifying model weights or requiring extensive labeled data. We validate our framework across multiple safety-critical domains (regulation, law, finance, cybersecurity, education, code, human resources, and social media), diverse tasks (safety classification, prompt injection, and toxicity detection), and 16 non-English languages, on both encoder and decoder architectures. Results show that: (i) the separation between safe and unsafe concepts emerges from a single layer direction in the activation space, and (ii) our approach consistently outperforms existing guardrail solutions while drastically reducing computational and annotation costs.</t>
  </si>
  <si>
    <t>Antonio Serino; Andrea Ermellino; Lorenzo Malandri; Fabio Mercorio</t>
  </si>
  <si>
    <t>Lorenzo Malandri</t>
  </si>
  <si>
    <t>490-MAIN</t>
  </si>
  <si>
    <t>PEFT-Bench: A Parameter-Efficient Fine-Tuning Methods Benchmark</t>
  </si>
  <si>
    <t>Despite the state-of-the-art performance of Large Language Models (LLMs) achieved on many tasks, their massive scale often leads to high computational and environmental costs, limiting their accessibility. Parameter-efficient fine-tuning (PEFT) methods address this challenge by reducing the number of trainable parameters while maintaining strong downstream performance. Despite the increased development in PEFT methods, current evaluations remain limited (in terms of evaluated models and datasets) and difficult to reproduce. To bridge this gap, we introduce PEFT-Bench, a unified end-to-end benchmark for evaluating diverse PEFT methods on autoregressive LLMs. We demonstrate its usage across 27 NLP datasets and 6 PEFT methods. To account for different PEFT training and inference factors, we also introduce the PEFT Soft Score Penalties (PSCP) metric, which takes trainable parameters, inference speed, and training memory usage into account.</t>
  </si>
  <si>
    <t>Robert Belanec; Branislav Pecher; Ivan Srba; Maria Bielikova</t>
  </si>
  <si>
    <t>Robert Belanec</t>
  </si>
  <si>
    <t>496-MAIN</t>
  </si>
  <si>
    <t>Decoding the Market's Pulse: Context-Enriched Agentic Retrieval Augmented Generation for Predicting Post-Earnings Price Shocks</t>
  </si>
  <si>
    <t>Accurately forecasting large stock price movements after corporate earnings announcements is a longstanding challenge. Existing methods--sentiment lexicons, fine-tuned encoders, and standalone LLMs--often **lack temporal-causal reasoning** and are prone to **narrative bias**, echoing overly optimistic managerial tone. We introduce **Context-Enriched Agentic RAG (CARAG)**, a retrieval-augmented framework that deploys a team of cooperative LLM agents, each specializing in a distinct analytical task: evaluating historical performance, assessing the credibility of guidance, or benchmarking against peers. Agents retrieve structured evidence from a Causal-Temporal Knowledge Graph (CTKG) built from financial statements and earnings calls, enabling grounded, context-rich reasoning. This design mitigates LLM hallucinations and produces more objective predictions. Without task-specific training, our system achieves state-of-the-art zero-shot performance across NASDAQ, NYSE, and MAEC datasets, outperforming both larger LLMs and fine-tuned models in macro-F1, MCC, and Sharpe, beating market benchmarks (S&amp;P 500 and Nasdaq) for the same forecasting horizon. Code, datasets, prompts, and implementation details are included in the supplementary material to ensure full reproducibility.</t>
  </si>
  <si>
    <t>Chenhui Li; Weihai Lu</t>
  </si>
  <si>
    <t>Chenhui Li</t>
  </si>
  <si>
    <t>498-MAIN</t>
  </si>
  <si>
    <t>LAILA: A Large Trait-Based Dataset for Arabic Automated Essay Scoring</t>
  </si>
  <si>
    <t>Automated Essay Scoring (AES) has gained increasing attention in recent years, yet research on Arabic AES remains limited due to the lack of publicly available datasets. To address this, we introduce LAILA, the largest publicly available Arabic AES dataset to date, comprising 7,859 essays annotated with holistic and trait-specific scores on seven dimensions: relevance, organization, vocabulary, style, development, mechanics, and grammar. We detail the dataset design, collection, and annotations, and provide benchmark results using state-of-the-art Arabic and English models in prompt-specific and cross-prompt settings. LAILA fills a critical need in Arabic AES research, supporting the development of robust scoring systems.</t>
  </si>
  <si>
    <t>May Bashendy; Walid Massoud; Sohaila Eltanbouly; Salam Albatarni; Marwan Sayed; Abrar Abir; Houda Bouamor; Tamer Elsayed</t>
  </si>
  <si>
    <t>Tamer Elsayed</t>
  </si>
  <si>
    <t>503-MAIN</t>
  </si>
  <si>
    <t>Live API-Bench: 2500+ Live APIs for Testing Multi-Step Tool Calling</t>
  </si>
  <si>
    <t>Large language models (LLMs) increasingly rely on external tools and APIs to execute complex tasks specified in natural language. Evaluating such {\em tool-calling} capabilities in realistic enterprise settings is challenging: APIs are often proprietary, heterogeneous, and difficult to share, limiting reproducible benchmarks. To address this, we introduce {\bf Live API Bench}, a comprehensive benchmark constructed by transforming NL2SQL datasets into interactive API environments. Our pipeline converts SQL queries from BIRD-SQL into executable API sequences across three formulationsвЂ”{\em SLOT}, {\em SEL}, and {\em REST}вЂ”covering minimal general-purpose operations, domain-specific multi-step tasks, and function-oriented RESTful interactions, respectively. The benchmark spans 11 databases with over 2,500 invocable tools, paired with human-authored queries, ground-truth API sequences, and verified final answers. Live API Bench enables systematic evaluation of core challenges in tool use, including error handling, sequential reasoning, parameter generation, response parsing, and robustness across diverse domains. We evaluate 10 LLMs and 4 ReACT agents, observing low task completion rates (7вЂ“47%), which improve modestly to 50% under interactive agent settings, highlighting substantial scope for improving LLM tool-calling performance. We release all code and data associated with this paper.</t>
  </si>
  <si>
    <t>Benjamin Elder; Anupama Murthi; Jungkoo Kang; Ankita Naik; Kinjal Basu; Kiran Kate; Danish Contractor</t>
  </si>
  <si>
    <t>Benjamin Elder</t>
  </si>
  <si>
    <t>513-MAIN</t>
  </si>
  <si>
    <t>MALicious INTent Dataset and Inoculating LLMs for Enhanced Disinformation Detection</t>
  </si>
  <si>
    <t>The intentional creation and spread of disinformation poses a significant threat to public discourse. However, existing English datasets and research rarely address the intentionality behind the disinformation. This work presents MALINT, the first human-annotated English corpus developed in collaboration with expert fact-checkers to capture disinformation and its malicious intent. We utilize our novel corpus to benchmark 12 language models, including small language models (SLMs) such as BERT and large language models (LLMs) like Llama 3.3, on binary and multilabel intent classification tasks. Moreover, inspired by inoculation theory from psychology and communication studies, we investigate whether incorporating knowledge of malicious intent can improve disinformation detection. To this end, we propose intent-based inoculation, an intentвЂ‘augmented reasoning for LLMs that integrates intent analysis to mitigate the persuasive impact of disinformation. Analysis on six disinformation datasets, five LLMs, and seven languages shows that intentвЂ‘augmented reasoning improves zeroвЂ‘shot disinformation detection. To support research in intentвЂ‘aware disinformation detection, we release the MALINT dataset with annotations from each annotation step.</t>
  </si>
  <si>
    <t>Arkadiusz Modzelewski; Witold Sosnowski; Eleni Papadopulos; Elisa Sartori; Tiziano Labruna; Adam Wierzbicki; Giovanni Da San Martino</t>
  </si>
  <si>
    <t>Arkadiusz Modzelewski</t>
  </si>
  <si>
    <t>518-MAIN</t>
  </si>
  <si>
    <t>When Meanings Meet: Investigating the Emergence and Quality of Shared Concept Spaces during Multilingual Language Model Training</t>
  </si>
  <si>
    <t>Training Large Language Models (LLMs) with high multilingual coverage is becoming increasingly important вЂ” especially when monolingual resources are scarce. Recent studies have found that LLMs process multilingual inputs in shared concept spaces, thought to support generalization and cross-lingual transfer. However, these prior studies often do not use causal methods, lack deeper error analysis or focus on the final model only, leaving open how these spaces emerge *during training*. We investigate the development of language-agnostic concept spaces during pretraining of EuroLLM through the causal interpretability method of activation patching. We isolate cross-lingual concept representations, then inject them into a translation prompt to investigate how consistently translations can be altered, independently of the language. We find that *shared concept spaces emerge early and continue to refine*, but that *alignment with them is language-dependent*. Furthermore, in contrast to prior work, our fine-grained manual analysis reveals that some apparent gains in translation quality reflect shifts in behavior вЂ” like selecting senses for polysemous words or translating instead of copying cross-lingual homographs вЂ” rather than improved translation ability. Our findings offer new insight into the training dynamics of cross-lingual alignment and the conditions under which causal interpretability methods offer meaningful insights in multilingual contexts.</t>
  </si>
  <si>
    <t>Felicia KГ¶rner; Max MГјller-Eberstein; Anna Korhonen; Barbara Plank</t>
  </si>
  <si>
    <t>Felicia Körner</t>
  </si>
  <si>
    <t>520-MAIN</t>
  </si>
  <si>
    <t>The Reasoning Lingua Franca: A Double-Edged Sword for Multilingual AI</t>
  </si>
  <si>
    <t>Large Reasoning Models (LRMs) achieve strong performance on mathematical, scientific, and other question-answering tasks, but their multilingual reasoning abilities remain underexplored. When presented with non-English questions, LRMs often default to reasoning in English, raising concerns about interpretability and the handling of linguistic and cultural nuances. We systematically compare an LRMвЂ™s reasoning in English versus the language of the question. Our evaluation spans two tasks: MGSM and GPQA Diamond. Beyond measuring answer accuracy, we also analyze cognitive attributes in the reasoning traces. We find that English reasoning traces exhibit a substantially higher presence of these cognitive behaviors, and that reasoning in English generally yields higher final-answer accuracy, with the performance gap increasing as tasks become more complex. However, this English-centric strategy is susceptible to a key failure mode - getting вЂњLost in Translation," where translation steps lead to errors that would have been avoided by reasoning in the language of the question.</t>
  </si>
  <si>
    <t>Alan Saji; Raj Dabre; Anoop Kunchukuttan; Ratish Puduppully</t>
  </si>
  <si>
    <t>Alan Saji</t>
  </si>
  <si>
    <t>522-MAIN</t>
  </si>
  <si>
    <t>Classifying and Addressing the Diversity of Errors in Retrieval-Augmented Generation Systems</t>
  </si>
  <si>
    <t>Retrieval-augmented generation (RAG) is a prevalent approach for building LLM-based question-answering systems that can take advantage of external knowledge databases. Due to the complexity of real-world RAG systems, there are many potential causes for erroneous outputs. Understanding the range of errors that can occur in practice is crucial for robust deployment. We present a new taxonomy of the error types that can occur in realistic RAG systems, examples of each, and practical advice for addressing them. Additionally, we curate a dataset of erroneous RAG responses annotated by error types. We then propose an auto-evaluation method aligned with our taxonomy that can be used in practice to track and address errors during development. Code and data have been released publicly.</t>
  </si>
  <si>
    <t>Kin Kwan Leung; Mouloud Belbahri; Yi Sui; Alex Labach; Xueying Zhang; Stephen Anthony Rose; Jesse C. Cresswell</t>
  </si>
  <si>
    <t>Kin Kwan Leung; Mouloud Belbahri;</t>
  </si>
  <si>
    <t>526-MAIN</t>
  </si>
  <si>
    <t>Helios: A Foundational Language Model for Smart Energy Knowledge Reasoning and Application</t>
  </si>
  <si>
    <t>In the global drive toward carbon neutrality, deeply coordinated smart energy systems underpin industrial transformation, yet their interdisciplinary, fragmented, and fast-evolving expertise prevents general-purpose LLMs, lacking domain knowledge and physical-constraint awareness, from delivering precise engineering-aligned inference and generation. To address these challenges, we introduce Helios, the first large language model tailored to the smart energy domain, together with a comprehensive suite of resources to advance LLM research in this field. Specifically, we develop Enersys, a multi-agent collaborative framework for end-to-end dataset construction, through which we produce: (1) the first smart energy knowledge base, EnerBase, to enrich the modelвЂ™s foundational expertise; (2) the first instruction fine-tuning dataset, EnerInsruct, to strengthen performance on domain-specific downstream tasks; and (3) the first RLHF dataset, EnerReinforce, to align the model with human preferences and industry standards. Leveraging these resources, Helios undergoes large-scale pretraining, SFT, and RLHF. We also release EnerBench, the first benchmark for evaluating LLMs in smart energy scenarios, and demonstrate that our approach significantly enhances domain knowledge mastery, task execution accuracy, and alignment with human preferences.</t>
  </si>
  <si>
    <t>Haoyu Jiang; Boan Qu; Fanjie Zeng; Xiaojie Lin; Wei Zhong</t>
  </si>
  <si>
    <t>Fanjie Zeng</t>
  </si>
  <si>
    <t>527-MAIN</t>
  </si>
  <si>
    <t>AudioSAE: Towards Understanding of Audio-Processing Models with Sparse AutoEncoders</t>
  </si>
  <si>
    <t>Sparse Autoencoders (SAEs) have emerged as a powerful interpretability tool for understanding neural network representations in text and vision domains, yet their application to audio models remains largely unexplored. We present the first comprehensive study applying SAEs to widely-used audio representation models вЂ“ Whisper and HuBERT вЂ“ training SAEs across all encoder layers and conducting extensive analysis of the learned features. We introduce a novel distributional semantics-based metric for comparing SAE features across different initializations, layers, and model architectures, demonstrating that over 50% of HuBERT features are robust across random seeds. Through systematic validation using clustering, classification, and interpretation methods, we discover that SAE features encode diverse information spanning multiple granularities: high-level characteristics (speech, music, environmental sounds), semantic content (phonemes), paralinguistic events (laughter, whispering, sneezing), and fine-grained acoustic patterns (speech boundaries, frequency structures). Our vowel unlearning experiments reveal significantly improved disentanglement in SAE representations, requiring removal of only 19-27% of features compared to over 90% for raw activations. We demonstrate practical utility by applying feature steering to reduce Whisper's hallucination error rate by 5.5% on non-speech audio while preserving speech recognition performance. Additionally, we find that approximately 20% of SAE features exhibit statistically significant correlation with human EEG responses during speech perception, suggesting alignment with neural processing mechanisms. The model weights, code for experiment reproduction and demo will be publicly available.</t>
  </si>
  <si>
    <t>Aparin Georgii; Tasnima Sadekova; Alexey Rukhovich; Assel Yermekova; Laida Kushnareva; Vadim Popov; Kristian Kuznetsov; Irina Piontkovskaya</t>
  </si>
  <si>
    <t>Georgii Aparin</t>
  </si>
  <si>
    <t>529-MAIN</t>
  </si>
  <si>
    <t>Vision-Language Models Align with Human Neural Representations in Concept Processing</t>
  </si>
  <si>
    <t>Recent studies suggest that transformer-based vision-language models (VLMs) capture the multimodality of concept processing in the human brain. However, a systematic evaluation exploring different types of VLM architectures and the role played by visual and textual context is still lacking. Here, we analyse multiple VLMs employing different strategies to integrate visual and textual modalities, along with language-only counterparts. We measure the alignment between concept representations by models and existing (fMRI) brain responses to concept words presented in two experimental conditions, where either visual (pictures) or textual (sentences) context is provided. Our results reveal that VLMs outperform the language-only counterparts in both experimental conditions. However, controlled ablation studies show that only for some VLMs, such as LXMERT and IDEFICS2, brain alignment stems from genuinely learning more human-like concepts during _pretraining_, while others are highly sensitive to the context provided at _inference_. Additionally, we find that vision-language encoders are more brain-aligned than more recent, generative VLMs. Altogether, our study shows that VLMs align with human neural representations in concept processing, while highlighting differences among architectures.</t>
  </si>
  <si>
    <t>Anna Bavaresco; Marianne de Heer Kloots; Sandro Pezzelle; Raquel FernГЎndez</t>
  </si>
  <si>
    <t>Anna Bavaresco</t>
  </si>
  <si>
    <t>530-MAIN</t>
  </si>
  <si>
    <t>FAID: Fine-grained AI-generated Text Detection using Multi-task Auxiliary and Multi-level Contrastive Learning</t>
  </si>
  <si>
    <t>The growing collaboration between humans and AI models in generative tasks has introduced new challenges in distinguishing between *human-written*, *LLM-generated*, and *human-LLM collaborative* texts. In this work, we collect a multilingual, multi-domain, multi-generator dataset **FAIDSet**. We further introduce a fine-grained detection framework **FAID** to classify text into these three categories, and also to identify the underlying LLM family of the generator. Unlike existing binary classifiers, FAID is built to capture both authorship and model-specific characteristics. Our method combines multi-level contrastive learning with multi-task auxiliary classification to learn subtle stylistic cues. By modeling LLM families as distinct stylistic entities, we incorporate an adaptation to address distributional shifts without retraining for unseen data. Our experimental results demonstrate that FAID outperforms several baselines, particularly enhancing the generalization accuracy on unseen domains and new LLMs, thus offering a potential solution for improving transparency and accountability in AI-assisted writing.</t>
  </si>
  <si>
    <t>Minh Ngoc Ta; Dong Cao Van; Duc-Anh Hoang; Minh Le-Anh; Truong Nguyen; My Anh Tran Nguyen; Yuxia Wang; Preslav Nakov; Dinh Viet Sang</t>
  </si>
  <si>
    <t>Minh Ngoc Ta</t>
  </si>
  <si>
    <t>533-MAIN</t>
  </si>
  <si>
    <t>BabyBabelLM: A Multilingual Benchmark of Developmentally Plausible Training Data</t>
  </si>
  <si>
    <t>We present BabyBabelLM, a multilingual collection of datasets modeling the language a person observes from birth until they acquire a native language. We curate developmentally plausible pretraining data aiming to cover the equivalent of 100M English words of content in each of 45 languages. We compile evaluation suites and train baseline models in each language. BabyBabelLM aims to facilitate multilingual pretraining and cognitive modeling.</t>
  </si>
  <si>
    <t>Jaap Jumelet; Abdellah Fourtassi; Akari Haga; Bastian Bunzeck; Bhargav Shandilya; Diana Galvan-Sosa; Faiz Ghifari Haznitrama; Francesca Padovani; Francois Meyer; Hai Hu; Julen Etxaniz; Laurent Prevot; Linyang He; MarГ­a Grandury; Mila Marcheva; Negar Foroutan; Nikitas Theodoropoulos; Pouya Sadeghi; Siyuan Song; Suchir Salhan; Susana Zhou; Yurii Paniv; Ziyin Zhang; Arianna Bisazza; Alex Warstadt; Leshem Choshen</t>
  </si>
  <si>
    <t>Jaap Jumelet</t>
  </si>
  <si>
    <t>534-MAIN</t>
  </si>
  <si>
    <t>Personality Editing for Language Models through Adjusting Self-Referential Queries</t>
  </si>
  <si>
    <t>Large Language Models (LLMs) are integral to applications such as conversational agents and content creation, where precise control over a modelвЂ™s personality is essential for maintaining tone, consistency, and user engagement. However, prevailing prompt-based or fine-tuning approaches either lack robustness or demand large-scale training data, making them costly and impractical. In this paper, we present PALETTE (Personality Adjustment by LLM SElf-TargeTed quEries), a novel method for personality editing in LLMs. Our approach introduces adjustment queries, where self-referential statements grounded in psychological constructs are treated analogously to factual knowledge, enabling direct editing of personality-related responses. Unlike fine-tuning, PALETTE requires only 12 editing samples to achieve substantial improvements in personality alignment across personality dimensions. Experimental results from both automatic and human evaluations demonstrate that our method enables more stable and well-balanced personality control in LLMs.</t>
  </si>
  <si>
    <t>Seojin Hwang; Yumin Kim; Byeongjeong Kim; Donghoon Shin; Hwanhee Lee</t>
  </si>
  <si>
    <t>Seojin Hwang</t>
  </si>
  <si>
    <t>537-MAIN</t>
  </si>
  <si>
    <t>How Much Pretraining Does Structured Data Need?</t>
  </si>
  <si>
    <t>Large language models (LLMs) are increasingly adopted for handling structured data, including tabular and relational inputs, despite mostly being pretrained on unstructured text. This raises a key question: how effectively do pretrained representations from language-focused LLMs transfer to tasks involving structured inputs? We address this through controlled experiments using two small open-source LLMs, systematically re-initializing subsets of layers with random weights before fine-tuning on structured datasets and comparing results to unstructured datasets. Our analyses show that, for structured data, most pretrained depth contributes little, with performance often saturating after the first few layers, whereas unstructured tasks benefit more consistently from deeper pretrained representations. Pretraining remains useful mainly in low-resource settings, with its impact diminishing as more training data becomes available.</t>
  </si>
  <si>
    <t>Daniel Fadlon; Kfir Bar</t>
  </si>
  <si>
    <t>Daniel Fadlon</t>
  </si>
  <si>
    <t>538-MAIN</t>
  </si>
  <si>
    <t>Finding Culture-Sensitive Neurons in Vision-Language Models</t>
  </si>
  <si>
    <t>Despite their impressive performance, vision-language models (VLMs) still struggle on culturally situated inputs. To understand how VLMs process culturally grounded information, we study the presence of culture-sensitive neurons, i.e. neurons whose activations show preferential sensitivity to inputs associated with particular cultural contexts. We examine whether such neurons are important for culturally diverse visual question answering and where they are located. Using the CVQA benchmark, we identify neurons of culture selectivity and perform causal tests by deactivating the neurons flagged by different identification methods. Experiments on three VLMs across 25 cultural groups demonstrate the existence of neurons whose ablation disproportionately harms performance on questions about the corresponding cultures, while having minimal effects on others. Moreover, we propose a new margin-based selector: Contrastive Activation Selection (CAS), and show that it outperforms existing probability- and entropy-based methods in identifying culture-sensitive neurons. Finally, our layer-wise analyses reveals that such neurons tend to cluster in certain decoder layers. Overall, our findings shed new light on the internal organization of multimodal representations.</t>
  </si>
  <si>
    <t>Xiutian Zhao; Rochelle Choenni; Rohit Saxena; Ivan Titov</t>
  </si>
  <si>
    <t>Xiutian Zhao</t>
  </si>
  <si>
    <t>540-MAIN</t>
  </si>
  <si>
    <t>Polyglots or Multitudes? Multilingual LLM Answers to Value-laden Multiple-Choice Questions</t>
  </si>
  <si>
    <t>Multiple-Choice Questions (MCQs) are often used to assess knowledge, reasoning abilities, and even values encoded in large language models (LLMs). While the effect multilingualism has been studied on LLM factual recall, few studies have taken interest in language-induced variation in value-laden MCQ responses. This paper seeks to bridge that gap: do multilingual LLMs behave like polyglots, i.e. answer the same question the same way across languages, or do they answer value-laden MCQs depending on the language, like a multitude of monolingual models? Unlike prior work relying on machine translation or ad hoc prompts, we release a new corpus solely comprising human-translated survey questions aligned in 8 European languages. We administer a subset of those questions to about forty multilingual LLMs of various sizes, manufacturers and alignment-fine-tuning status under comprehensive, controlled prompt variations including answer order, symbol type, and tail character. Our results show that while instruction-tuned, larger models display higher consistency overall, that consistency varies greatly across questions, with certain MCQs eliciting total agreement within and across models while other leave LLM answers evenly split. Language-specific behavior seems to arise in all of the most consistent models, but only on certain questions, warranting a further study of the selective effect of preference fine-tuning.</t>
  </si>
  <si>
    <t>LГ©o Labat; Etienne Ollion; FranГ§ois Yvon</t>
  </si>
  <si>
    <t>Léo Labat</t>
  </si>
  <si>
    <t>541-MAIN</t>
  </si>
  <si>
    <t>ABCD-LINK: Annotation Bootstrapping for Cross-Document Fine-Grained Links</t>
  </si>
  <si>
    <t>Understanding fine-grained links between documents is crucial for many applications, yet progress is limited by the lack of efficient methods for for data curation. To address this limitation, we introduce a domain-agnostic framework for bootstrapping sentence-level cross-document links from scratch. Our approach (1) generates and validates semi-synthetic datasets of linked documents, (2) uses these datasets to benchmark and shortlist the best-performing linking approaches, and (3) applies the shortlisted methods in large-scale human-in-the-loop annotation of natural text pairs. We apply the framework in two distinct domains вЂ“ peer review and news вЂ“ and show that combining retrieval models with LLMs achieves a 73% human approval rate for suggested links, more than doubling the acceptance of strong retrievers alone. Our framework allows users to produce novel datasets that enable systematic study of cross-document understanding, supporting downstream tasks such as media framing analysis and peer review assessment. All code, data, and annotation protocols are released to facilitate future research.</t>
  </si>
  <si>
    <t>Serwar Basch; Ilia Kuznetsov; Tom Hope; Iryna Gurevych</t>
  </si>
  <si>
    <t>Serwar Basch</t>
  </si>
  <si>
    <t>547-MAIN</t>
  </si>
  <si>
    <t>When Flores Bloomz Wrong: An Analysis of Cross-Lingual Contamination in Machine Translation Evaluation</t>
  </si>
  <si>
    <t>Large language models (LLMs) can be benchmark-contaminated, which produces inflated scores that mask memorization as generalization. In a multilingual setting, memorization has been shown to be able to transfer to ``uncontaminated'' languages. Using the FLORES-200 machine translation benchmark as a diagnostic, we study three 7--8B instruction-tuned multilingual LLMs. Using Llama and Qwen's BLEU and COMET scores as a control, we confirm Bloomz's FLORES contamination. We then demonstrate that machine translation contamination happens cross-lingually and is driven by target-side memorization, artificially boosting performance in translating unseen input. Further analysis shows that despite our source paraphrasing or perturbation efforts, recall of memorized references often persists. We discover that this is strongly anchored to source-side named entities; randomizing these sharply reduces recall of memorized texts. This provides insights into potential ways to cleanly benchmark contaminated LLMs.</t>
  </si>
  <si>
    <t>David Tan; Pinzhen Chen; Josef van Genabith; Koel Dutta Chowdhury</t>
  </si>
  <si>
    <t>David Tan</t>
  </si>
  <si>
    <t>549-MAIN</t>
  </si>
  <si>
    <t>Decision-Making with Deliberation: Meta-reviewing as a Document-grounded Dialogue</t>
  </si>
  <si>
    <t>Meta-reviewing is a pivotal stage in the peer-review process, serving as the final step in determining whether a paper is recommended for acceptance. Prior research on meta-reviewing has treated this as a summarization problem over review reports. However, complementary to this perspective, meta-reviewing is a decision-making process that requires weighing reviewer arguments and placing them within a broader context. Prior research has demonstrated that decision-makers can be effectively assisted in such scenarios via dialogue agents. In line with this framing, we explore the practical challenges for realizing dialog agents that can effectively assist meta-reviewers. Concretely, we first address the issue of data scarcity for training dialogue agents by generating synthetic data using Large Language Models (LLMs) based on a self-refinement strategy to improve the relevance of these dialogues to expert domains. Our experiments demonstrate that this method produces higher-quality synthetic data and can serve as a valuable resource towards training meta-reviewing assistants. Subsequently, we utilize this data to train dialogue agents tailored for meta-reviewing and find that these agents outperform *off-the-shelf* LLM-based assistants for this task. Finally, we apply our agents in real-world meta-reviewing scenarios and confirm their effectiveness in enhancing the efficiency of meta-reviewing.</t>
  </si>
  <si>
    <t>Sukannya Purkayastha; Nils Dycke; Anne Lauscher; Iryna Gurevych</t>
  </si>
  <si>
    <t>552-MAIN</t>
  </si>
  <si>
    <t>Mapping the Course for Prompt-based Structured Prediction</t>
  </si>
  <si>
    <t>LLMs have been shown to be useful for a variety of language tasks, without requiring task-specific fine-tuning. However, these models often struggle with hallucinations and complex reasoning problems due to their autoregressive nature. We propose to address some of these issues, specifically in the area of structured prediction, by combining LLMs with combinatorial inference in an attempt to marry the predictive power of LLMs with the structural consistency provided by inference methods. We perform exhaustive experiments in an effort to understand which prompting strategies can effectively estimate LLM confidence values for use with symbolic inference, and show that, regardless of the prompting strategy, the addition of symbolic inference on top of prompting alone leads to more consistent and accurate predictions. Additionally, we show that calibration and fine-tuning using structured prediction objectives leads to increased performance for challenging tasks, showing that structured learning is still valuable in the era of LLMs.</t>
  </si>
  <si>
    <t>Matt Pauk; Maria Leonor Pacheco</t>
  </si>
  <si>
    <t>Matt Pauk</t>
  </si>
  <si>
    <t>558-MAIN</t>
  </si>
  <si>
    <t>Martingale Foresight Sampling: A Principled Approach to Inference-Time LLM Decoding</t>
  </si>
  <si>
    <t>Standard autoregressive decoding in large language models (LLMs) is inherently short-sighted, often failing to find globally optimal reasoning paths due to its token-by-token generation process. While inference-time strategies like foresight sampling attempt to mitigate this by simulating future steps, they typically rely on ad-hoc heuristics for valuing paths and pruning the search space. This paper introduces Martingale Foresight Sampling (MFS), a principled framework that reformulates LLM decoding as a problem of identifying an optimal stochastic process. By modeling the quality of a reasoning path as a stochastic process, we leverage Martingale theory to design a theoretically-grounded algorithm. Our approach replaces heuristic mechanisms with principles from probability theory: step valuation is derived from the Doob Decomposition Theorem to measure a path's predictable advantage, path selection uses Optional Stopping Theory for principled pruning of suboptimal candidates, and an adaptive stopping rule based on the Martingale Convergence Theorem terminates deliberation once a path's quality has provably converged. Experiments on six reasoning benchmarks demonstrate that MFS surpasses state-of-the-art methods in accuracy while significantly improving computational efficiency.</t>
  </si>
  <si>
    <t>Huayu Li; ZhengXiao He; siyuan tian; Jinghao Wen; Ao Li</t>
  </si>
  <si>
    <t>Zhengxiao He</t>
  </si>
  <si>
    <t>560-MAIN</t>
  </si>
  <si>
    <t>Is This LLM Library Learning? Evaluation Must Account For Compute and Behaviour</t>
  </si>
  <si>
    <t>The in-context learning (ICL) coding, reasoning, and tool-using ability of LLMs has spurred interest in library learning (i.e., the creation and exploitation of reusable and composable functions, tools, or lemmas). Such systems often promise improved task performance and computational efficiency by caching reasoning (i.e., storing generated tools) - all without finetuning. However, we find strong reasons to be skeptical. Specifically, we identify a serious evaluation flaw present in a large number of ICL library learning works: these works do not correct for the difference in computational cost between baseline and library learning systems. Studying three separately published ICL library learning systems, we find that all of them fail to consistently outperform the simple baseline of prompting the model - improvements in task accuracy often vanish or reverse once computational cost is accounted for. Furthermore, we perform an in-depth examination of one such system, LEGO-Prover, which purports to learn reusable lemmas for mathematical reasoning. We find no evidence of the direct reuse of learned lemmas, and find evidence against the soft reuse of learned lemmas (i.e., reuse by modifying relevant examples). Our findings suggest that a serious re-examination of the effectiveness of ICL LLM-based library learning is required, as is much stronger standards for evaluation. An equal computational budget must be used for baselines, alongside behavioural analysis.</t>
  </si>
  <si>
    <t>Ian Berlot-Attwell; Tobias Sesterhenn; Frank Rudzicz; Xujie Si</t>
  </si>
  <si>
    <t>Ian Berlot-Attwell</t>
  </si>
  <si>
    <t>561-MAIN</t>
  </si>
  <si>
    <t>Too Many Frames, Not All Useful: Efficient Strategies for Long-Form Video QA</t>
  </si>
  <si>
    <t>Long-form videos that span across wide temporal intervals are highly information redundant and contain multiple distinct events or entities that are often loosely related. Therefore, when performing long-form video question answering (LVQA), all information necessary to generate a correct response can often be contained within a small subset of frames. Recent literature leverage large language models (LLMs) in LVQA benchmarks, achieving exceptional performance, while relying on vision language models (VLMs) to convert all visual content within videos into natural language. Such VLMs often independently caption a large number of frames uniformly sampled from long videos, which is not efficient and can mostly be redundant. Motivated by this inefficiency, we propose LVNet, a modular and training-free framework featuring a novel Hierarchical Keyframe Selector (HKS) that efficiently selects a minimal set of informative frames tailored to each question. LVNet's modularity allows easy integration with existing approaches for more efficient LVQA. We achieve state-of-the-art performance among similarly configured models across four benchmark LVQA datasets: EgoSchema, NExT-QA, IntentQA, VideoMME. Our code will be released publicly.</t>
  </si>
  <si>
    <t>Jongwoo Park; Kanchana Ranasinghe; Kumara Kahatapitiya; Wonjeong Ryu; Donghyun Kim; Michael S Ryoo</t>
  </si>
  <si>
    <t>Jongwoo Park</t>
  </si>
  <si>
    <t>563-MAIN</t>
  </si>
  <si>
    <t>A Unified View on Emotion Representation in Large Language Models</t>
  </si>
  <si>
    <t>Interest in leveraging Large Language Models (LLMs) for emotional support systems motivates the need to understand how these models comprehend and represent emotions internally. While recent works show the presence of emotion concepts in the hidden state representations, it's unclear if the model has a robust representation that is consistent across different datasets. In this paper, we present a unified view to understand emotion representation in LLMs, experimenting with diverse datasets and prompts. We then evaluate the reasoning ability of the models on a complex emotion identification task. We find that LLMs have a common emotion representation in the later layers of the model, and the vectors capturing the direction of emotions extracted from these representations can be interchanged among datasets with minimal impact on performance. Our analysis of reasoning with Chain of Thought (CoT) prompting shows the limits of emotion comprehension. Therefore, despite LLMs implicitly having emotion representations, they are not equally skilled at reasoning with them in complex scenarios. This motivates the need for further research to find new approaches.</t>
  </si>
  <si>
    <t>Aishwarya Maheswaran; Maunendra Sankar Desarkar</t>
  </si>
  <si>
    <t>Aishwarya Maheswaran</t>
  </si>
  <si>
    <t>565-MAIN</t>
  </si>
  <si>
    <t>TRACE: A Framework for Analyzing and Enhancing Stepwise Reasoning in Vision-Language Models</t>
  </si>
  <si>
    <t>Reliable mathematical and scientific reasoning remains an open challenge for large visionвЂ“language models (VLMs). Standard final-answer evaluation often masks reasoning errors, allowing silent failures to persist. To address this gap, we introduce TRACE (Transparent Reasoning And Consistency Evaluation), a framework for analyzing, diagnosing, and improving reasoning in VLMs. At its core, TRACE leverages Auxiliary Reasoning Sets (ARS), compact sub-questionвЂ“answer pairs that decompose complex problems, evaluate intermediate steps through consistency-based metrics, and expose failures overlooked by standard evaluation. Our experiments show that consistency across ARS is linked to final-answer correctness and helps pinpoint the reasoning steps where failures arise, offering actionable signals for model improvement.</t>
  </si>
  <si>
    <t>Shima Imani; Seungwhan Moon; Lambert Mathias; Lu Zhang; Babak Damavandi</t>
  </si>
  <si>
    <t>Shima Imani</t>
  </si>
  <si>
    <t>573-MAIN</t>
  </si>
  <si>
    <t>x-SAL: Leading Symbolic Reasoning across Languages via Cross-lingual Symbolic-Aided Language Model</t>
  </si>
  <si>
    <t>Reasoning beyond English remains a significant challenge for large language models (LLMs); indeed, the ability to perform step-wise reasoning remains restricted to a single language, making it difficult to generalise across languages and hindering broader global adoption. Although a number of works have proposed techniques to align LLMs' multilingual capabilities, they operate mainly on mathematical tasks, leaving behind multilingual symbolic and commonsense reasoning tasks. We present Cross-lingual Symbolic-Aided Language Model (X-SAL), a method inspired by Program-Aided Language Models (PA L) for aligning symbolic reasoning across languages. X -SAL empower reasoning operating via Multilingual Symbolic Formaliser (converting multilingual questions and problem solutions into symbolic statements) and Language-specific Solver (delivering the final answers using symbolic statements) directly within the language model. Our experimental evaluations show that X -SAL outperforms existing methods both in mathematical and symbolic reasoning tasks. Yet, since there remains a performance gap between larger and smaller LLMs, we then propose self-refining techniques to enable even smaller LLMs to achieve robust performance</t>
  </si>
  <si>
    <t>Leonardo Ranaldi; Giulia Pucci</t>
  </si>
  <si>
    <t>Leonardo Ranaldi</t>
  </si>
  <si>
    <t>575-MAIN</t>
  </si>
  <si>
    <t>AfriMTEB and AfriE5: Benchmarking and Adapting Text Embedding Models for African Languages</t>
  </si>
  <si>
    <t>Text embeddings are an essential building component of several NLP tasks such as retrieval-augmented generation which is crucial for preventing hallucinations in LLMs. Despite the recent release of massively multilingual MTEB (MMTEB), African languages remain underrepresented, with existing tasks often repurposed from translation benchmarks such as FLORES clustering or SIB-200. In this paper, we introduce AfriMTEB---a regional expansion of MMTEB covering 59 languages, 14 tasks, and 38 datasets, including six newly added datasets. Unlike many MMTEB datasets that include fewer than five languages, the new additions span 14 to 56 African languages and introduce entirely new tasks, such as hate speech detection, intent detection, and emotion classification, which were not previously covered. Complementing this, we present AfriE5, an adaptation of the instruction-tuned mE5 model to African languages through cross-lingual contrastive distillation. Our evaluation shows that AfriE5 achieves state-of-the-art performance, outperforming strong baselines such as Gemini-Embeddings and mE5.</t>
  </si>
  <si>
    <t>Kosei Uemura; Miaoran Zhang; David Ifeoluwa Adelani</t>
  </si>
  <si>
    <t>Kosei Uemura</t>
  </si>
  <si>
    <t>580-MAIN</t>
  </si>
  <si>
    <t>SAFARI: A Community-Engaged Approach and Dataset of Stereotype Resources in the Sub-Saharan African Context</t>
  </si>
  <si>
    <t>Stereotype repositories are critical to assess generative AI model safety, but currently lack adequate global coverage. It is imperative to prioritize targeted expansion, strategically addressing existing deficits, over merely increasing data volume. This work introduces a multilingual stereotype resource covering four sub-Saharan African countries that are severely underrepresented in NLP resources: Ghana, Kenya, Nigeria, and South Africa. By utilizing socioculturally-situated, community-engaged methods, including telephonic surveys moderated in native languages, we establish a reproducible methodology that is sensitive to the region's complex linguistic diversity and traditional orality. By deliberately balancing the sample across diverse ethnic and demographic backgrounds, we ensure broad coverage, resulting in a dataset of 3,534 stereotypes in English and 3,206 stereotypes across 15 native languages.</t>
  </si>
  <si>
    <t>Aishwarya Verma; Laud Ammah; Olivia Nercy Ndlovu Lucas; Andrew Zaldivar; Vinodkumar Prabhakaran; Sunipa Dev</t>
  </si>
  <si>
    <t>Aishwarya Verma</t>
  </si>
  <si>
    <t>582-MAIN</t>
  </si>
  <si>
    <t>Better Generalizing to Unseen Concepts: An Evaluation Framework and An LLM-Based Auto-Labeled Pipeline for Biomedical Concept Recognition</t>
  </si>
  <si>
    <t>Generalization to unseen concepts is a central challenge due to the scarcity of human annotations in Mention-agnostic Biomedical Concept Recognition (MA-BCR). This work makes two key contributions to systematically address this issue. First, we propose an evaluation framework built on hierarchical concept indices and novel metrics to measure generalization. Second, we explore LLM-based Auto-Labeled Data (ALD) as a scalable resource, creating a task-specific pipeline for its generation. Our research unequivocally shows that while LLM-generated ALD cannot fully substitute for manual annotations, it is a valuable resource for improving generalization, successfully providing models with the broader coverage and structural knowledge needed to approach recognizing unseen concepts. Code and datasets are available at https://github.com/bio-ie-tool/hi-ald.</t>
  </si>
  <si>
    <t>Shanshan liu; Noriki Nishida; Fei Cheng; Narumi Tokunaga; Rumana Ferdous Munne; Yuki Yamagata; Kouji Kozaki; Takehito Utsuro; Yuji Matsumoto</t>
  </si>
  <si>
    <t>Shanshan Liu</t>
  </si>
  <si>
    <t>584-MAIN</t>
  </si>
  <si>
    <t>A Representation Sharpening Framework for Zero Shot Dense Retrieval</t>
  </si>
  <si>
    <t>Zero-shot dense retrieval is a challenging setting where a document corpus is provided without relevant queries, necessitating a reliance on pretrained dense retrievers (DRs). However, since these DRs are not trained on the target corpus, they struggle to represent semantic differences between similar documents. To address this failing, we introduce a training-free representation sharpening framework that augments a document's representation with information that helps differentiate it from similar documents in the corpus. On over twenty datasets spanning multiple languages, the representation sharpening framework proves consistently superior to traditional retrieval, setting a new state-of-the-art on the BRIGHT benchmark. We show that representation sharpening is compatible with prior approaches to zero-shot dense retrieval and consistently improves their performance. Finally, we address the performance-cost tradeoff presented by our framework and devise an indexing-time approximation that preserves the majority of our performance gains over traditional retrieval, yet suffers no additional inference-time cost.</t>
  </si>
  <si>
    <t>Dhananjay Ashok; Suraj Nair; Mutasem Al-Darabsah; Choon Hui Teo; Tarun Agarwal; Jonathan May</t>
  </si>
  <si>
    <t>Dhananjay Ashok</t>
  </si>
  <si>
    <t>587-MAIN</t>
  </si>
  <si>
    <t>Spotlight Your Instructions: Instruction-following with Dynamic Attention Steering</t>
  </si>
  <si>
    <t>In many real-world applications, users rely on natural language instructions to guide large language models (LLMs) across a wide range of tasks. These instructions are often complex, diverse, and subject to frequent change. However, LLMs do not always attend to these instructions reliably, and users lack simple mechanisms to emphasize their importance beyond modifying prompt wording or structure. To address this, we present an inference-time method that enables users to emphasize specific parts of their prompt by steering the model's attention toward them, aligning the model's perceived importance of different prompt tokens with user intent. Unlike prior approaches that are limited to static instructions, require significant offline profiling, or rely on fixed biases, we dynamically update the proportion of model attention given to the user-specified parts--ensuring improved instruction following without performance degradation. We demonstrate that our approach improves instruction following across a variety of tasks involving multiple instructions and generalizes across models of varying scales.</t>
  </si>
  <si>
    <t>Praveen Venkateswaran; Danish Contractor</t>
  </si>
  <si>
    <t>Danish Contractor</t>
  </si>
  <si>
    <t>588-MAIN</t>
  </si>
  <si>
    <t>STREAM-ZH: Simplified Topic Retrieval Exploration and Analysis Module for Chinese Language</t>
  </si>
  <si>
    <t>We introduce Simplified Topic Retrieval Exploration and Analysis Module for Chinese language (STREAM-ZH), the first topic modeling package to fully support the Chinese language across a broad range of topic models, evaluation metrics, and preprocessing workflows. Tailored to both simplified and traditional Chinese language, our package extends the STREAM topic modeling framework with a curated collection of preprocessed textual datasets in Chinese from which we assess the performance of classical, neural, and clustering topic models using commonly-used intruder, diversity, and coherence metrics. The results of a benchmark analysis bring evidence that within our framework, topic models may generate coherent and diverse topics from datasets in Chinese language, outperforming those generated by topic models using English-translated textual input. Our framework facilitates multilingual accessibility and research in topic modeling applied to Chinese textual data. The code is available at the following link: https://anonymous.4open.science/r/STREAM-ZH-DC5B</t>
  </si>
  <si>
    <t>Hongyi Li; Jianjun Lian; Anton Frederik Thielmann; Andre Python</t>
  </si>
  <si>
    <t>Jianjun Lian</t>
  </si>
  <si>
    <t>589-MAIN</t>
  </si>
  <si>
    <t>FormGym: Doing Paperwork with Agents</t>
  </si>
  <si>
    <t>End-to-end form filling refers to automatically populating fields in a document-style form with the appropriate information derived from external data. Although prevalent and useful, no formal benchmark exists for evaluating systems' form completion accuracy. Existing datasets focus on parsing, extraction and web form interaction, rather than end-to-end completion of document-style forms. We propose FormGym, a benchmark formulation of the end-to-end form filling task that evaluates form completion and accuracy. We construct FormGym by repurposing three existing datasets and add one new dataset to achieve more challenging, diverse, and realistic test cases. Our studies show baseline vision language agents (VLAs) perform poorly on FormGym in every scenario, primarily due to poor field localization. GUI agents perform better but suffer from high latency and costs. Therefore we also introduce FieldFinder, a field localization tool that enables zero-shot VLAs to find and accurately place text in input fields. We find that VLAs augmented with FieldFinder achieve better performance compared to baselines in all models.</t>
  </si>
  <si>
    <t>Matthew Toles; Isaac Song; RATTANDEEP SINGH; Zhou Yu</t>
  </si>
  <si>
    <t>Matthew Toles</t>
  </si>
  <si>
    <t>590-MAIN</t>
  </si>
  <si>
    <t>NarraBench: A Comprehensive Framework for Narrative Benchmarking</t>
  </si>
  <si>
    <t>We present NarraBench, a theory-informed taxonomy of narrative-understanding tasks, as well as an associated survey of 78 existing benchmarks in the area. We find significant need for new evaluations covering aspects of narrative understanding that are either overlooked in current work or are poorly aligned with existing metrics. Specifically, we estimate that only 27% of narrative tasks are well captured by existing benchmarks, and we note that some areas -- including narrative events, style, perspective, and revelation -- are nearly absent from current evaluations. We also note the need for increased development of benchmarks capable of assessing constitutively subjective and perspectival aspects of narrative, that is, aspects for which there is generally no single correct answer. Our taxonomy, survey, and methodology are of value to NLP researchers seeking to test LLM narrative understanding.</t>
  </si>
  <si>
    <t>Sil Hamilton; Matthew Wilkens; Andrew Piper</t>
  </si>
  <si>
    <t>Sil Hamilton</t>
  </si>
  <si>
    <t>595-MAIN</t>
  </si>
  <si>
    <t>Is Information Density Uniform when Utterances are Grounded on Perception and Discourse?</t>
  </si>
  <si>
    <t>The Uniform Information Density (UID) hypothesis posits that speakers tend to distribute information evenly across words within utterances, minimising surprisal variance. While this hypothesis was verified empirically, prior studies are limited exclusively to textвЂ“only inputs, abstracting away from the perceptual context. In this work, we present the first computational study of UID in grounded settings, estimating surprisal using multilingual visionвЂ“andвЂ“language models over imageвЂ“caption data in 30 languages and visual storytelling data in 14 languages, together spanning 11 families. We find that grounding on perception consistently smooths the distribution of information, lowering both global and local UID metrics across typologically diverse languages compared to text-only settings. In visual narratives, the combination of image and discourse contexts yields additive effects, with the strongest surprisal reductions at unit onsets. Grounded language exhibits greater information uniformity, supporting a context-sensitive formulation of UID. Hence, we take a first step towards modelling the temporal dynamics of information flow in ecologically plausible, multimodal language use.</t>
  </si>
  <si>
    <t>Matteo Gay; Coleman Haley; Mario Giulianelli; Edoardo Ponti</t>
  </si>
  <si>
    <t>Matteo Gay</t>
  </si>
  <si>
    <t>599-MAIN</t>
  </si>
  <si>
    <t>KAD: A Framework for Proxy-based Test-time Alignment with Knapsack Approximation Deferral</t>
  </si>
  <si>
    <t>With the accelerated scaling in large language models' (LLMs) sizes, comes the prohibitive surge in computation budget allotted for model's alignment and fine-tuning for downstream tasks. And while factual knowledge has been shown to be learned earlier during pre-training, a model still requires further fine-tuning to adhere to task requirements and stylistic preferences. We propose a novel approach to circumvent costly large model fine-tuning via test-time alignment, i.e. using guidance from a small aligned model. Our approach is based on a new formulation of token-specific cascading as a 0-1 knapsack problem. In this setting, we derive primal and dual approximations of the optimal deferral decision. We further demonstrate the advantages of our method experimentally both in task performance and speculative decoding speed.</t>
  </si>
  <si>
    <t>Ayoub Hammal; Pierre Zweigenbaum; Caio Corro</t>
  </si>
  <si>
    <t>Ayoub Hammal</t>
  </si>
  <si>
    <t>600-MAIN</t>
  </si>
  <si>
    <t>When Can We Trust LLMs in Mental Health? Large-Scale Benchmarks for Reliable LLM Evaluation</t>
  </si>
  <si>
    <t>Evaluating Large Language Models (LLMs) for mental health support poses unique challenges to reliable evaluation due to the emotionally and cognitively complex nature of therapeutic dialogue. Existing benchmarks are limited in scale, authenticity, and reliability, often relying on synthetic or social media data, and lack frameworks to assess when automated judges can be trusted. To address the need for large-scale authentic dialogue datasets and judge-reliability assessment, we introduce two benchmarks that provide a framework for generation and evaluation in this domain. MentalBench-100k consolidates 10,000 authentic single-session therapeutic conversations from three real-world scenarios datasets, each paired with nine LLM-generated responses, yielding 100,000 response pairs. MentalAlign-70k reframes evaluation by comparing four high-performing LLM judges with human experts across 70,000 ratings on seven attributes, grouped into Cognitive Support Score (CSS) and Affective Resonance Score (ARS). We then employ the AffectiveвЂ“Cognitive Agreement Framework, a statistical methodology using intraclass correlation coefficients (ICC) with confidence intervals to quantify agreement, consistency, and bias between LLM judges and human experts. Our analysis reveals systematic inflation by LLM judges, strong reliability for cognitive attributes such as guidance and informativeness, reduced precision for empathy, and some unreliability in safety and relevance. Our contributions establish new methodological and empirical foundations for the reliable and large-scale evaluation of LLMs in mental health contexts.</t>
  </si>
  <si>
    <t>Abeer Badawi; Elahe Rahimi; Md Tahmid Rahman Laskar; Sheri Grach; Lindsay Bertrand; Lames Danok; Prathiba Dhanesh; Jimmy Huang; Frank Rudzicz; Elham Dolatabadi</t>
  </si>
  <si>
    <t>Abeer Badawi</t>
  </si>
  <si>
    <t>602-MAIN</t>
  </si>
  <si>
    <t>DocPolarBERT: A Pre-trained Model for Document Understanding with Relative Polar Coordinate Encoding of Layout Structures</t>
  </si>
  <si>
    <t>We propose a novel self-attention mechanism for document understanding that takes into account text block positions in relative polar coordinate system rather than the Cartesian one. Based on this mechanism, we build DocPolarBERT, a layout-aware BERT model for document understanding that eliminates the need for absolute 2D positional embeddings. Despite being pre-trained on a dataset more than six times smaller than the widely used IIT-CDIP corpus, DocPolarBERT achieves state-of-the-art results. These results demonstrate that a carefully designed attention mechanism can compensate for reduced pre-training data, offering an efficient and effective alternative for document understanding.</t>
  </si>
  <si>
    <t>Benno Uthayasooriyar; Antoine LY; Franck Vermet; Caio Corro</t>
  </si>
  <si>
    <t>Benno Uthayasooriyar</t>
  </si>
  <si>
    <t>609-MAIN</t>
  </si>
  <si>
    <t>It's All About the Confidence: An Unsupervised Approach for Multilingual Historical Entity Linking using Large Language Models</t>
  </si>
  <si>
    <t>Despite the recent advancements in NLP with the advent of Large Language Models (LLMs), Entity Linking (EL) for historical texts remains challenging due to linguistic variation, noisy inputs, and evolving semantic conventions. Existing solutions either require substantial training data or rely on domain-specific rules that limit scalability. In this paper, we present MHEL-LLaMo (Multilingual Historical Entity Linking with Large Language MOdels), an unsupervised ensemble approach combining a Small Language Model (SLM) and an LLM. MHEL-LLaMo leverages a multilingual bi-encoder (BELA) for candidate retrieval and an instruction-tuned LLM for NIL prediction and candidate selection via prompt chaining. Our system uses SLM's confidence scores to discriminate between easy and hard samples, applying an LLM only for hard cases. This strategy reduces computational costs while preventing hallucinations on straightforward cases. We evaluate MHEL-LLaMo on four established benchmarks in six European languages (English, Finnish, French, German, Italian and Swedish) from the 19th and 20th centuries. Results demonstrate that MHEL-LLaMo outperforms state-of-the-art models without requiring fine-tuning, offering a scalable solution for low-resource historical EL. Our error analysis reveals that 41% of false predictions exhibit semantic proximity to ground truth entities, highlighting the LLM's accurate disambiguation of historical references.</t>
  </si>
  <si>
    <t>Cristian Santini; Marieke van Erp; Mehwish Alam</t>
  </si>
  <si>
    <t>Cristian Santini</t>
  </si>
  <si>
    <t>612-MAIN</t>
  </si>
  <si>
    <t>SoS: Analysis of Surface over Semantics in Multilingual Text-To-Image Generation</t>
  </si>
  <si>
    <t>Text-to-image (T2I) models are increasingly employed by users worldwide. However, prior research has pointed to the high sensitivity of T2I towards particular input languages - when faced with languages other than English (i.e., different surface forms of the same prompt), T2I models often produce culturally stereotypical depictions, prioritizing the surface over the prompt's semantics. Yet a comprehensive analysis of this behavior, which we dub Surface-over-Semantics (SoS), is missing. We present the first analysis of T2I models' SoS tendencies. To this end, we create a set of prompts covering 171 cultural identities, translated into 14 languages, and use it to prompt seven T2I models. To quantify SoS tendencies across models, languages, and cultures, we introduce a novel evaluation measure and analyze how the tendencies we identify manifest visually. We show that all tested models exhibit strong surface tendencies in at least three languages, and that this effect intensifies throughout the layers of T2Is' text encoders. Furthermore, strong surface tendencies often directly relate to stereotypical depictions and are reflected in distinct color profiles.</t>
  </si>
  <si>
    <t>Carolin Holtermann; Florian Schneider; Anne Lauscher</t>
  </si>
  <si>
    <t>Carolin Holtermann</t>
  </si>
  <si>
    <t>622-MAIN</t>
  </si>
  <si>
    <t>TempViz: On the Evaluation of Temporal Knowledge in Text-to-Image Models</t>
  </si>
  <si>
    <t>Time alters the visual appearance of entities in our world, like objects, places, and animals. Thus, for accurately generating contextually-relevant images, knowledge and reasoning about time can be crucial (e.g., for generating a landscape in spring vs. in winter). Yet, although substantial work exists on understanding and improving temporal knowledge in natural language processing, research on how temporal phenomena appear and are handled in text-to-image (T2I) models remains scarce. We address this gap with TempViz, the first data set to holistically evaluate temporal knowledge in image generation, consisting of 7.9k prompts and more than 600 reference images. Using TempViz, we study the capabilities of five T2I models across five temporal knowledge categories. Human evaluation shows that temporal competence is generally weak, with no model exceeding 75% accuracy across categories. Towards larger-scale studies, we also examine automated evaluation methods, comparing several established approaches against human judgments. However, none of these approaches provides a reliable assessment of temporal cues - further indicating the pressing need for future research on temporal knowledge in T2I.</t>
  </si>
  <si>
    <t>Carolin Holtermann; Nina Krebs; Anne Lauscher</t>
  </si>
  <si>
    <t>624-MAIN</t>
  </si>
  <si>
    <t>ToxiGAN: Toxic Data Augmentation via LLM-Guided Directional Adversarial Generation</t>
  </si>
  <si>
    <t>Augmenting toxic language data in a controllable and class-specific manner is crucial for improving robustness in toxicity classification, yet remains challenging due to limited supervision and distributional skew. We propose ToxiGAN, a class-aware text augmentation framework that combines adversarial generation with semantic guidance from large language models (LLMs). To address common issues in GAN-based augmentation such as mode collapse and semantic drift, ToxiGAN introduces a two-step directional training strategy and leverages LLM-generated neutral texts as semantic ballast. Unlike prior work that treats LLMs as static generators, our approach dynamically selects neutral exemplars to provide balanced guidance. Toxic samples are explicitly optimized to diverge from these exemplars, reinforcing class-specific contrastive signals. Experiments on four hate speech benchmarks show that ToxiGAN achieves the strongest average performance in both macro-F1 and hate-F1, consistently outperforming traditional and LLM-based augmentation methods. Ablation and sensitivity analyses further confirm the benefits of semantic ballast and directional training in enhancing classifier robustness.</t>
  </si>
  <si>
    <t>Peiran Li; Jan Fillies; Adrian Paschke</t>
  </si>
  <si>
    <t>Peiran Li</t>
  </si>
  <si>
    <t>625-MAIN</t>
  </si>
  <si>
    <t>Text Classification Under Class Distribution Shift: A Survey</t>
  </si>
  <si>
    <t>The basic underlying assumption of machine learning (ML) models is that the training and test data are sampled from the same distribution. However, in daily practice, this assumption is often broken, i.e. the distribution of the test data changes over time, which hinders the application of conventional ML models. One domain where the distribution shift naturally occurs is text classification, since people always find new topics to discuss. To this end, we survey research articles studying open-set text classification and related tasks. We divide the methods in this area based on the constraints that define the kind of distribution shift and the corresponding problem formulation, i.e.~learning with the Universum, zero-shot learning, and open-set learning. We next discuss the predominant mitigation approaches for each problem setup. We further identify several future work directions, aiming to push the boundaries beyond the state of the art. Finally, we explain how continual learning can solve many of the issues caused by the shifting class distribution.</t>
  </si>
  <si>
    <t>Adriana Valentina Costache; Silviu-Florin Gheorghe; Eduard Poesina; Paul Irofti; Radu Tudor Ionescu</t>
  </si>
  <si>
    <t>Radu Tudor Ionescu</t>
  </si>
  <si>
    <t>632-MAIN</t>
  </si>
  <si>
    <t>Exploring Generative Process Reward Modeling for Semi-Structured Data: A Case Study of Table Question Answering</t>
  </si>
  <si>
    <t>Process reward models (PRMs) improve complex reasoning in large language models (LLMs) by grading candidate solutions step-by-step and selecting answers via aggregated step scores. While effective in domains such as mathematics, their applicability to tasks involving semi-structured data, like table question answering (TQA) remains unexplored. TQA poses unique challenges for PRMs, including abundant irrelevant information, loosely connected reasoning steps, and domain-specific reasoning. This work presents the first systematic study of PRMs for TQA. We evaluate state-of-the-art generative PRMs on TQA from both answer and step perspectives. Results show that PRMs that combine textual and code verification can aid solution selection but struggle to generalize to out-of-domain data. Analysis reveals a weak correlation between performance in step-level verification and answer accuracy, possibly stemming from weak step dependencies and loose causal links. Our findings highlight limitations of current PRMs on TQA and offer valuable insights for building more robust, process-aware verifiers.</t>
  </si>
  <si>
    <t>Lei Tang; Wei Zhou; Mohsen Mesgar</t>
  </si>
  <si>
    <t>Wei Zhou</t>
  </si>
  <si>
    <t>634-MAIN</t>
  </si>
  <si>
    <t>Out of Distribution, Out of Luck: Process Rewards Misguide Reasoning Models</t>
  </si>
  <si>
    <t>Process Reward Models (PRMs) have emerged as a promising approach for guiding large language models (LLMs) through multi-step reasoning by providing step-level feedback during inference. However, our evaluation across seven LLMs reveals a surprising failure mode: while PRMs significantly improve performance for instruct mathematical models, they consistently fail to enhance, and sometimes degrade, reasoning model performance despite requiring additional computational resources. Through systematic analysis using linear probes, we identify distinct reward prediction patterns that differentiate reasoning from non-reasoning model outputs. To understand this mechanism, we train Sparse Autoencoders on all layers of the Qwen2.5-Math-PRM and analyze reasoning features. Our analysis reveals that 80% of such features respond to superficial formatting artifacts, rather than mathematical content quality. This demonstrates that reasoning model outputs represent out-of-distribution inputs for current PRMs. Our findings expose a fundamental limitation in applying existing reward models to reasoning systems and provide mechanistic insights into this failure mode. We release our trained SAEs to facilitate future research into reward model interpretability and evaluation methods suited for reasoning paradigms.</t>
  </si>
  <si>
    <t>Alexey Dontsov; Anton Korznikov; Andrey V. Galichin; Elena Tutubalina</t>
  </si>
  <si>
    <t>Alexei Dontsov</t>
  </si>
  <si>
    <t>641-MAIN</t>
  </si>
  <si>
    <t>Rethinking Reading Order: Toward Generalizable Document Understanding with LLM-based Relation Modeling</t>
  </si>
  <si>
    <t>Document understanding requires modeling both structural and semantic relationships between the layout elements within the document, with human-perceived reading order (RO) playing a crucial yet often neglected role compared to heuristic OCR sequences used by most existing models. Previous approaches depend on costly, inconsistent human annotations, limiting scalability and generalization. To bridge the gap, we propose a cost-effective paradigm that leverages large language models (LLMs) to infer global RO and inter-element layout relations without human supervision. By explicitly incorporating RO as structural guidance, our method captures hierarchical, document-level dependencies beyond local adjacency. Experiments on Semantic Entity Recognition, Entity Linking, and Document Question Answering show consistent improvements over baseline methods. Notably, LLM-inferred RO, even when differing from ground-truth adjacency, provides richer global structural priors and yields superior downstream performance. These results and findings demonstrate the scalability and significance of RO-aware modeling, advancing both LLMs and lightweight layout-aware models for robust document understanding.</t>
  </si>
  <si>
    <t>Weishi Wang; Hengchang Hu; Daniel Dahlmeier</t>
  </si>
  <si>
    <t>Weishi Wang</t>
  </si>
  <si>
    <t>644-MAIN</t>
  </si>
  <si>
    <t>Validating Automatic Evaluation of Controllable Counterspeech Generation: Rankings Matter More Than Scores</t>
  </si>
  <si>
    <t>Counterspeech generation has emerged as a promising approach to combat online hate speech, with recent work focusing on controlling attributes used in counterspeech, such as strategies or intents. While these attributes are often evaluated automatically using classifiers, a key goal of this evaluation is to compare the performance of different generation models. However, the validity of such evaluation results is questionable when the classifiers themselves have only modest performance. This paper examines the automatic evaluation of counterspeech attributes using a multi-attribute counterspeech dataset containing 2,728 samples. We investigate when automatic evaluation can be trusted for model comparison and address the limitations of current evaluation methodologies. We make concrete recommendations for how to perform classifier validation before model evaluation. Our classifier validation results demonstrate that even limited classifiers can produce trustworthy model rankings. Therefore, we argue that when comparing counterspeech generation models, a classifier's ability to rank generation models is a more direct measure of its practical utility than traditional classification metrics, e.g., accuracy and F1.</t>
  </si>
  <si>
    <t>Yi Zheng; BjГ¶rn Ross; Walid Magdy</t>
  </si>
  <si>
    <t>Yi Zheng</t>
  </si>
  <si>
    <t>650-MAIN</t>
  </si>
  <si>
    <t>MetaLead: A Comprehensive Human-Curated Leaderboard Dataset for Transparent Reporting of Machine Learning Experiments</t>
  </si>
  <si>
    <t>Leaderboards are crucial in the machine learning (ML) domain for benchmarking and tracking progress. However, creating leaderboards traditionally demands significant manual effort. In recent years, efforts have been made to automate leaderboard generation, but existing datasets for this purpose are limited by capturing only the best results from each paper and limited metadata. We present MetaLead, a fully human-annotated ML Leaderboard dataset that captures all experimental results for result transparency and contains extra metadata, such as the result experimental type: baseline, proposed method, or variation of proposed method for experiment-type guided comparisons, and explicitly separates train and test dataset for cross-domain assessment. This enriched structure makes MetaLead a powerful resource for more transparent and nuanced evaluations across ML research. MetaLead dataset and code repository: https://anonymous.4open.science/r/metalead-7CA3</t>
  </si>
  <si>
    <t>Roelien C. Timmer; Necva BГ¶lГјcГј; Stephen Wan</t>
  </si>
  <si>
    <t>Roelien C. Timmer</t>
  </si>
  <si>
    <t>656-MAIN</t>
  </si>
  <si>
    <t>Measuring Mechanistic Independence: Can Bias Be Removed Without Erasing Demographics?</t>
  </si>
  <si>
    <t>We investigate how independent demographic bias mechanisms are from general demographic recognition in language models. Using cross-task evaluation across name recognition, profession associations, and education predictions, we measure whether models can be debiased while preserving legitimate demographic detection. We compare attribution-based and correlation-based methods for locating bias features. We find that targeted sparse autoencoder feature ablations in Gemma-2-9B can reduce bias without degrading recognition: ablating top-attribution features mitigates race and gender profession stereotypes (6вЂ“34%) while preserving name recognition accuracy, whereas ablating top-correlated features more effectively mitigates education bias. Qualitative analysis reveals that ablating top-attribution features causes ``prior collapse'' in education tasks, thus increasing bias in these settings. Our findings establish that demographic bias relies on distributed task-specific mechanisms rather than absolute demographic markers---but also that mechanistic interventions enable surgical debiasing while preserving general competence. This provides empirical evidence that inference-time bias mitigation need not compromise core model capabilities.</t>
  </si>
  <si>
    <t>Zhengyang Shan; Aaron Mueller</t>
  </si>
  <si>
    <t>665-MAIN</t>
  </si>
  <si>
    <t>A Survey on LLM-based Conversational User Simulation</t>
  </si>
  <si>
    <t>User simulation has long played a vital role in computer science due to its potential to support a wide range of applications. Language, as the primary medium of human communication, forms the foundation of social interaction and behavior. Consequently, simulating conversational behavior has become a key area of study. Recent advancements in large language models (LLMs) have significantly catalyzed progress in this domain by enabling high-fidelity generation of synthetic user conversation. In this paper, we survey recent advancements in LLM-based conversational user simulation. We introduce a novel taxonomy covering user granularity and simulation objectives. Additionally, we systematically analyze core techniques and evaluation methodologies. We aim to keep the research community informed of the latest advancements in conversational user simulation and to further facilitate future research by identifying open challenges and organizing existing work under a unified framework.</t>
  </si>
  <si>
    <t>Bo Ni; Yu Wang; Leyao Wang; Branislav Kveton; Franck Dernoncourt; Yu Xia; Hongjie Chen; Reuben Luera; Samyadeep Basu; Subhojyoti Mukherjee; Puneet Mathur; Nesreen K. Ahmed; Junda Wu; Li Li; Huixin Zhang; Ruiyi Zhang; Tong Yu; Sungchul Kim; Jiuxiang Gu; Zhengzhong Tu; Alexa Siu; Zichao Wang; Seunghyun Yoon; Nedim Lipka; Namyong Park; Zihao Lin; Trung Bui; Yue Zhao; Tyler Derr; Ryan A. Rossi</t>
  </si>
  <si>
    <t>Bo Ni</t>
  </si>
  <si>
    <t>679-MAIN</t>
  </si>
  <si>
    <t>Prompt-driven Detection of Offensive Urdu Language using Large Language Models</t>
  </si>
  <si>
    <t>Offensive language detection poses a significant challenge in modern social spaces, necessitating advanced solutions. Online media platforms have been known to escalate acts of violence and broader conflicts, and thus, an automated system to help counter offensive content is essential. Traditional NLP models have typically dominated the field of hate speech detection, but require careful model design and extensive tuning. Moreover, a notable resource gap exists for addressing offensive languages, particularly those transcribed in non-native scripts, such as Roman Urdu and Urdu. This study explores the potential of pre-trained LLMs in using prompt-based methods using different transcriptions of the Urdu language, particularly their efficacy in detecting offensive content in diverse linguistic contexts. Our study employs state-of-the-art open-source LLMs, including advanced variants of Llama, Qwen, Lughaat, and proprietary GPT-4, which are evaluated through prompting strategies in different under-resourced languages. Our findings show that pre-trained LLMs achieve performance comparable to traditional fine-tuned benchmarks in detecting hateful and offensive content.</t>
  </si>
  <si>
    <t>Iffat Maab; Usman Haider; Junichi Yamagishi</t>
  </si>
  <si>
    <t>Iffat Maab</t>
  </si>
  <si>
    <t>683-MAIN</t>
  </si>
  <si>
    <t>RAGPPI: Retrieval-Augmented Generation Benchmark for ProteinвЂ“Protein Interactions in Drug Discovery</t>
  </si>
  <si>
    <t>Retrieving the biological impacts of protein-protein interactions (PPIs) is essential for target identification (Target ID) in drug development. Given the vast number of proteins involved, this process remains time-consuming and challenging. Large Language Models (LLMs) and Retrieval-Augmented Generation (RAG) frameworks have supported Target ID; however, no benchmark currently exists for identifying the biological impacts of PPIs. To bridge this gap, we introduce the RAG Benchmark for PPIs (RAGPPI), a factual question-answer benchmark of 4,420 question-answer pairs that focus on the potential biological impacts of PPIs. Through interviews with experts, we identified criteria for a benchmark dataset, such as a type of QA and source. We built a gold-standard dataset (500 QA pairs) through expert-driven data annotation. We developed an ensemble auto-evaluation LLM that incorporates expert labeling characteristics, average factвЂ“abstract similarity ($F_1$), and low-similarity fact counts ($F_2$), enabling the construction of a silver-standard dataset (3,720 QA pairs). We are committed to maintaining RAGPPI as a resource to support the research community in advancing RAG systems for drug discovery QA solutions.</t>
  </si>
  <si>
    <t>Youngseung Jeon; Ziwen Li; Thomas Li; JiaSyuan Chang; Morteza Ziyadi; Xiang Anthony Chen</t>
  </si>
  <si>
    <t>Youngseung Jeon</t>
  </si>
  <si>
    <t>684-MAIN</t>
  </si>
  <si>
    <t>Don't Generate, Classify! Low-Latency Prompt Optimization with Structured Complementary Prompt</t>
  </si>
  <si>
    <t>Large language models (LLMs) have demonstrated strong performance across diverse natural language processing tasks. However, their performance varies significantly across different prompts, requiring careful engineering for consistent results. Manual prompt engineering requires substantial human effort and limits reproducibility, while automatic prompt optimization techniques, though reducing manual labor, rely on costly autoregressive generation and incur significant latency overheads. To address these limitations, we present low-latency prompt optimization (LLPO), a novel framework that reframes prompt engineering as a classification problem. LLPO classifies structured prompt fields from user input through multi-task classification and populates a predefined template to generate an optimized system prompt with minimal latency. In LLM-based automatic evaluations across four question-answering benchmarks, LLPO improves answer quality by up to 26.5% in в€†win rate compared to prior automatic prompt optimization methods, while reducing latency by up to 1,956 times. Human evaluation shows that LLPO receives the highest proportion of top-ranked responses. Furthermore, ablation studies analyze the contribution of each structured prompt field to performance, highlighting the robustness of our framework.</t>
  </si>
  <si>
    <t>Hee-Soo Kim; Junyoung Kim; Jeonghwan Lee; Seong-Jin Park; Kang-Min Kim</t>
  </si>
  <si>
    <t>Hee-Soo Kim</t>
  </si>
  <si>
    <t>695-MAIN</t>
  </si>
  <si>
    <t>GAST: Gradient-aligned Sparse Tuning of Large Language Models with Data-layer Selection</t>
  </si>
  <si>
    <t>Parameter-Efficient Fine-Tuning (PEFT) has become a key strategy for adapting large language models, with recent advances in sparse tuning reducing overhead by selectively updating key parameters or subsets of data. Existing approaches generally focus on two distinct paradigms: layer-selective methods aiming to fine-tune critical layers to minimize computational load, and data-selective methods aiming to select effective training subsets to boost training. However, current methods typically overlook the fact that different data points contribute varying degrees to distinct model layers, and they often discard potentially valuable information from data perceived as of low quality. To address these limitations, we propose Gradient-aligned Sparse Tuning (GAST), an innovative method that simultaneously performs selective fine-tuning at both data and layer dimensions as integral components of a unified optimization strategy. GAST specifically targets redundancy in information by employing a layer-sparse strategy that adaptively selects the most impactful data points for each layer, providing a more comprehensive and sophisticated solution than approaches restricted to a single dimension. Experiments demonstrate that GAST consistently outperforms baseline methods, establishing a promising direction for future research in PEFT strategies.</t>
  </si>
  <si>
    <t>Kai Yao; Penglei Gao; Zhaorui Tan; Kaixin Wu; Danzhao Cheng; Yixin Ji; Zhenghan Song; mingjie zhong</t>
  </si>
  <si>
    <t>Kaixin Wu</t>
  </si>
  <si>
    <t>696-MAIN</t>
  </si>
  <si>
    <t>BeDiscovER: The Benchmark of Discourse Understanding in the Era of Reasoning Language Models</t>
  </si>
  <si>
    <t>We introduce BeDiscovER (Benchmark of Discourse Understanding in the Era of Reasoning Language Models), an up-to-date, comprehensive suite for evaluating the discourse-level knowledge of modern LLMs. BeDiscovER compiles 5 publicly available discourse tasks across discourse lexicon, (multi-)sentential, and documental levels, with in total 52 individual datasets. It covers both extensively studied tasks such as discourse parsing and temporal relation extraction, as well as some novel challenges such as discourse particle disambiguation (e.g., just), and also aggregates a shared-task on Discourse Relation Parsing and Treebanking for multilingual and multi-framework discourse relation classification. We evaluate open-source LLMs: Qwen3 series, DeepSeek-R1, and frontier reasoning model GPT-5-mini on BeDiscovER, and find that state-of-the-art models exhibits strong performance in arithmetic aspect of temporal reasoning, but they struggle with long-dependency reasoning and some subtle semantic and discourse phenomena, such as rhetorical relation classification.</t>
  </si>
  <si>
    <t>Chuyuan Li; Giuseppe Carenini</t>
  </si>
  <si>
    <t>Chuyuan Li</t>
  </si>
  <si>
    <t>705-MAIN</t>
  </si>
  <si>
    <t>Confidence-Calibrated Small-Large Language Model Collaboration for Cost-Efficient Reasoning</t>
  </si>
  <si>
    <t>Large language models (LLMs) demonstrate superior reasoning capabilities compared to small language models (SLMs), but incur substantially higher costs. We propose COllaborative REAsoner (COREA), a system that cascades an SLM with an LLM to achieve a balance between accuracy and cost in complex reasoning tasks. COREA first attempts to answer questions using the SLM, which outputs both an answer and a verbalized confidence score. Questions with confidence below a predefined threshold are deferred to the LLM for more accurate resolution. We introduce a reinforcement learning-based training algorithm that aligns the SLM's confidence through an additional confidence calibration reward. Extensive experiments demonstrate that our method jointly improves the SLM's reasoning ability and confidence calibration across diverse datasets and model backbones. Compared to using the LLM alone, COREA reduces cost by 21.5% and 16.8% on out-of-domain math and non-math datasets, respectively, with only an absolute pass@1 drop within 2%.</t>
  </si>
  <si>
    <t>Chuang Zhang; Zizhen Zhu; Yihao Wei; Bing Tian; Junyi Liu; Henan Wang; Wang Xavier; Yaxiao Liu</t>
  </si>
  <si>
    <t>Chuang Zhang</t>
  </si>
  <si>
    <t>711-MAIN</t>
  </si>
  <si>
    <t>Attribution-Guided Multi-Object Hallucination and Bias Detection in Vision-Language Models</t>
  </si>
  <si>
    <t>Vision-Language Models excel in multi-modal tasks but often hallucinate objects or exhibit linguistic bias by over-repeating object names, especially in complex multi-object scenes. Existing methods struggle with multi-object grounding because language priors frequently dominate visual evidence, causing hallucinated or biased objects to produce attention distributions or similarity scores nearly indistinguishable from those of real objects. We introduce SHAPLENS, a Shapley valueвЂ“based attribution framework using Kernel SHAP and multi-layer fusion to detect hallucinated and biased objects. Evaluated on ADE and COCO datasets across four leading VLMs, SHAPLENS improves hallucination detection accuracy by 8вЂ“12% and F1 by 10вЂ“14% over the best baselines. It also achieves up to 6% higher bias detection performance across three distinct bias types on a curated HQH benchmark and exhibits minimal degradation (&lt;0.03%) across partial and perturbed contexts.</t>
  </si>
  <si>
    <t>Sirat Samyoun; Yingtai Xiao; Jian Du</t>
  </si>
  <si>
    <t>Sirat Samyoun</t>
  </si>
  <si>
    <t>717-MAIN</t>
  </si>
  <si>
    <t>$\infty$-MoE: Generalizing Mixture of Experts to Infinite Experts</t>
  </si>
  <si>
    <t>The Mixture of Experts (MoE) selects a few feed-forward networks (FFNs) per token, achieving an effective trade-off between computational cost and performance. In conventional MoE, each expert is treated as entirely independent, and experts are combined in a discrete space. As a result, when the number of experts increases, it becomes difficult to train each expert effectively. To stabilize training while increasing the number of experts, we propose $\infty$-MoE that selects a portion of the parameters of large FFNs based on continuous values sampled for each token. By considering experts in a continuous space, this approach allows for an infinite number of experts while maintaining computational efficiency. Experiments show that a GPT-2 Small-based $\infty$-MoE model, with 129M active and 186M total parameters, achieves comparable performance to a dense GPT-2 Medium with 350M parameters. Adjusting the number of sampled experts at inference time allows for a flexible trade-off between accuracy and speed, with an improvement of up to 2.5% in accuracy over conventional MoE.</t>
  </si>
  <si>
    <t>Shota Takashiro; Takeshi Kojima; Shohei Taniguchi; Yusuke Iwasawa; Yutaka Matsuo</t>
  </si>
  <si>
    <t>Shota Takashiro</t>
  </si>
  <si>
    <t>718-MAIN</t>
  </si>
  <si>
    <t>Beyond Tokens: Concept-Level Training Objectives for LLMs</t>
  </si>
  <si>
    <t>The next-token prediction (NTP) objective has been foundational in the development of modern large language models (LLMs), driving advances in fluency and generalization. However, NTP operates at the token level, treating deviations from a single reference continuation as errors even when alternative continuations are equally plausible or semantically equivalent. As a result, token-level loss can penalize valid abstractions, paraphrases, or conceptually correct reasoning paths, biasing models toward surface form rather than underlying meaning. This mismatch between the training signal and semantic correctness motivates learning objectives that operate over higher-level representations. We propose a shift from token-level to concept-level prediction, where concepts group multiple surface forms of the same idea (e.g., "mom," "mommy," "mother" $\rightarrow$ \textit{MOTHER}). We introduce various methods for integrating conceptual supervision into LLM training and show that concept-aware models achieve lower perplexity, improved robustness under domain shift, and stronger performance than NTP-based models on diverse NLP benchmarks. This suggests concept-level supervision as an improved training signal that better aligns LLMs with human semantic abstractions.</t>
  </si>
  <si>
    <t>Laya Iyer; Pranav Somani; Alice Guo; Dan Jurafsky; Chen Shani</t>
  </si>
  <si>
    <t>Laya Iyer</t>
  </si>
  <si>
    <t>721-MAIN</t>
  </si>
  <si>
    <t>Re$^2$-DocRED: Revisiting Revisited-DocRED for Joint Entity and Relation Extraction</t>
  </si>
  <si>
    <t>Document-level Joint Entity and Relation Extraction (JERE) benchmarks such as DocRED, Re-DocRED, and DocGNRE suffer from pervasive False Negatives (FN), especially in long-tail relations, undermining training and evaluation. In this paper, we introduce SiftingLogic -- a training-free annotation pipeline that leverages LLMs with user-specifiable reasoning, enriched inverse/co-occurring relation schemas, and novel entity-level constraints to systematically address FN gaps. Applying SiftingLogic and our enriched schema of inverse and co-occurring relations, we add 29,580 verified triplets to Re-DocRED (train/dev, +27\%) and over 9,700 verified triplets to DocGNRE test (+49.89\%), yielding the enhanced Re$^2$-DocRED dataset. Beyond English datasets, we also apply our SiftingLogic to REDFM Mandarin test set, resulting in a significant increase in triplets from 663 to 1,391 (+109.8\%) demonstrating our pipeline's generalisability across languages and datasets. Our experiments show that recall scores of models trained on existing public datasets drop notably on our revised splits, whereas our enriched training set mitigates this, underscoring persistent FN gaps and motivating our proposed SiftingLogic and Re$^2$-DocRED. To facilitate further research and reproducibility, we release the revised datasets and our checkpoints.</t>
  </si>
  <si>
    <t>Chen Kim Heng; Shao Wen Tong; Julian Wong Wei Sheng</t>
  </si>
  <si>
    <t>Chen Kim Heng</t>
  </si>
  <si>
    <t>724-MAIN</t>
  </si>
  <si>
    <t>Where Do LLMs Compose Meaning? A Layerwise Analysis of Compositional Robustness</t>
  </si>
  <si>
    <t>Understanding how large language models (LLMs) process compositional linguistic structures is integral to enhancing their reliability and interpretability. We present Constituent-Aware Pooling (CAP), a methodology grounded in compositionality, mechanistic interpretability, and information theory that intervenes in model activations by pooling token representations into linguistic constituents at various layers. Experiments across eight models (124M-8B parameters) on inverse definition modelling, hypernym and synonym prediction reveal that semantic composition is not localised to specific layers but distributed across network depth. Performance degrades substantially under constituent-based pooling, particularly in early and middle layers, with larger models showing greater sensitivity. We propose an information-theoretic interpretation: transformers' training objectives incentivise deferred integration to maximise token-level throughput, resulting in fragmented rather than localised composition. These findings highlight fundamental architectural and training constraints requiring specialised approaches to encourage robust compositional processing.</t>
  </si>
  <si>
    <t>Nura Aljaafari; Danilo Carvalho; Andre Freitas</t>
  </si>
  <si>
    <t>Nura Aljaafari</t>
  </si>
  <si>
    <t>729-MAIN</t>
  </si>
  <si>
    <t>BLEnD-Vis: Benchmarking Multimodal Cultural Understanding in Vision Language Models</t>
  </si>
  <si>
    <t>As vision-language models (VLMs) are deployed globally, their ability to understand culturally situated knowledge becomes essential. Yet, existing evaluations largely assess static recall or isolated visual grounding, leaving unanswered whether VLMs possess robust and transferable cultural understanding. We introduce `BLEnD-Vis`, a multimodal, multicultural benchmark designed to evaluate the robustness of everyday cultural knowledge in VLMs across linguistic rephrasings and visual modalities. Building on the BLEnD dataset, `BLEnD-Vis` constructs 313 culturally grounded question templates spanning 16 regions and generates three aligned multiple-choice formats: (i) a text-only baseline querying from Region $\rightarrow$ Entity, (ii) an inverted text-only variant (Entity $\rightarrow$ Region), and (iii) a VQA-style version of (ii) with generated images. The resulting benchmark comprises 4,916 images and over 21,000 multiple-choice question (MCQ) instances, validated through human annotation. `BLEnD-Vis` reveals significant fragility in current VLM cultural knowledge; models exhibit performance drops under linguistic rephrasing and, whilst visual cues often aid performance, low cross-modal consistency highlights challenges in robustly integrating textual and visual understanding, particularly for lower-resource regions. `BLEnD-Vis` thus provides a crucial testbed for systematically analysing cultural robustness and multimodal grounding, exposing limitations and guiding the development of more culturally competent VLMs.</t>
  </si>
  <si>
    <t>Bryan Chen Zhengyu Tan; Weihua Zheng; Zhengyuan Liu; Nancy F. Chen; Hwaran Lee; Kenny Tsu Wei Choo; Roy Ka-Wei Lee</t>
  </si>
  <si>
    <t>Weihua Zheng</t>
  </si>
  <si>
    <t>734-MAIN</t>
  </si>
  <si>
    <t>Steering Large Language Models for Machine Translation Personalization</t>
  </si>
  <si>
    <t>Large language models have simplified the production of personalized translations reflecting predefined stylistic constraints. However, these systems still struggle when stylistic requirements are implicitly represented by a set of examples, such as texts produced by a specific human translator. In this work, we explore various strategies for personalizing automatically generated translations when few examples are available, with a focus on the challenging domain of literary translation. We begin by determining the feasibility of the task and how style information is encoded within model representations. Then, we evaluate various prompting strategies and inference-time interventions for steering model generations towards a personalized style, with a particular focus on contrastive steering with sparse autoencoder (SAE) latents to identify salient personalization properties. We demonstrate that contrastive SAE steering yields robust style conditioning and translation quality, resulting in higher inference-time computational efficiency than prompting approaches. We further examine the impact of steering on model activations, finding that layers encoding personalization properties are impacted similarly by prompting and SAE steering, suggesting a similar mechanism at play.</t>
  </si>
  <si>
    <t>Daniel Scalena; Gabriele Sarti; Arianna Bisazza; Elisabetta Fersini; Malvina Nissim</t>
  </si>
  <si>
    <t>Daniel Scalena</t>
  </si>
  <si>
    <t>737-MAIN</t>
  </si>
  <si>
    <t>Taxation Perspectives from Large Language Models: A Case Study on Additional Tax Penalties</t>
  </si>
  <si>
    <t>How capable are large language models (LLMs) in the domain of taxation? Although numerous studies have explored the legal domain, research dedicated to taxation remains scarce. Moreover, the datasets used in these studies are either simplified, failing to reflect the real-world complexities, or not released as open-source. To address this gap, we introduce PLAT, a new benchmark designed to assess the ability of LLMs to predict the legitimacy of additional tax penalties. PLAT comprises 300 examples: (1) 100 binary-choice questions, (2) 100 multiple-choice questions, and (3) 100 essay-type questions, all derived from 100 Korean court precedents. PLAT is constructed to evaluate not only LLMsвЂ™ understanding of tax law but also their performance in legal cases that require complex reasoning beyond straight forward application of statutes. Our systematic experiments with multiple LLMs reveal that (1) their baseline capabilities are limited, especially in cases involving conflicting issues that require a comprehensive understanding (not only of the statutes but also of the taxpayerвЂ™s circumstances), and (2) LLMs struggle particularly with the вЂњACвЂќ stages of вЂњIRACвЂќ even for advanced reasoning models like o3, which actively employ inference-time scaling.</t>
  </si>
  <si>
    <t>Eunkyung Choi; Young Jin Suh; Siun Lee; Hongseok Oh; Juheon Kang; Won Hur; HUN PARK; Wonseok Hwang</t>
  </si>
  <si>
    <t>Eunkyung Choi</t>
  </si>
  <si>
    <t>738-MAIN</t>
  </si>
  <si>
    <t>Beyond Memorization: A Rigorous Evaluation Framework for Medical Knowledge Editing</t>
  </si>
  <si>
    <t>Knowledge editing (KE) has recently emerged as a promising technique to update specific facts in large language models (LLMs) without full retraining. While existing KE methods show promising results on general-domain benchmarks, their effectiveness in the medical domain remains largely unexplored. Medical knowledge editing poses unique challenges, requiring models not only to memorize new facts but also to internalize and generalize them for reliable and interpretable clinical decision-making. In this work, we propose MedEditBench, a rigorous evaluation framework for assessing medical knowledge editing. Our preliminary results reveal that current KE paradigm, which directly edits simple answers to the LLMs, often leads to superficial updates with poor generalization. To address this, we introduce Self-Generated Rationale Editing (SGR-Edit), which leverages model-generated rationales as editing targets, enabling deeper knowledge integration. Extensive experiments across diverse LLMs and KE methods demonstrate that SGR-Edit consistently improves editing efficacy and generalization. Furthermore, we examine the impact of sequential edits on in-domain medical knowledge, external-domain knowledge, as well as general model capabilities, offering practical insights for deploying KE in real-world medical applications.</t>
  </si>
  <si>
    <t>Shigeng Chen; Linhao Luo; Zhangchi Qiu; Yanan Cao; Carl Yang; Shirui Pan</t>
  </si>
  <si>
    <t>Shigeng Chen</t>
  </si>
  <si>
    <t>750-MAIN</t>
  </si>
  <si>
    <t>Unlocking Latent Discourse Translation in LLMs Through Quality-Aware Decoding</t>
  </si>
  <si>
    <t>Large language models (LLMs) have emerged as strong contenders in machine translation. Yet, they still struggle to adequately handle discourse phenomena, such as pronoun resolution and lexical cohesion at the document level. In this study, we thoroughly investigate the discourse phenomena performance of LLMs in context-aware translation. We demonstrate that discourse knowledge is encoded within LLMs and propose the use of quality-aware decoding (QAD) to effectively extract this knowledge, showcasing its superiority over other decoding approaches through comprehensive analysis. Furthermore, we illustrate that QAD enhances the semantic richness of translations and aligns them more closely with human preferences.</t>
  </si>
  <si>
    <t>Wafaa Mohammed; Vlad Niculae; Chrysoula Zerva</t>
  </si>
  <si>
    <t>Wafaa Mohammed</t>
  </si>
  <si>
    <t>752-MAIN</t>
  </si>
  <si>
    <t>Cross-lingual and Word-Independent Methods for Quantifying Degree of Grammaticalization</t>
  </si>
  <si>
    <t>Grammaticalization denotes a diachronic change of the grammatical category from content words to function words. One of the intensively explored directions in this area is to quantify the degree of grammaticalization. There have been a limited number of automated methods for this task and the existing, best-performing method is heavily language- and word-dependent. In this paper, we explore three methods for quantifying the degree of grammaticalization, which are applicable to a much wider variety of words and languages than before. The difficulty here is that training data is not available in the present task. We overcome this difficulty by using Positive-Unlabeled learning (PU-learning) or Cross-Validation-like learning (hereafter, CV-learning). Experiments show that the CV-learning-based method achieves middle to high correlations to human judgments in English deverbal prepositions and Japanese nouns being grammaticalized. With this method, we further explore words possibly being grammaticalized and counterexamples of the unidirectionality hypothesis.</t>
  </si>
  <si>
    <t>Ryo Nagata; Daichi Mochihashi; Misato Ido; Yusuke Kubota; Naoki Otani; Yoshifumi Kawasaki; Hiroya Takamura</t>
  </si>
  <si>
    <t>Ryo Nagata</t>
  </si>
  <si>
    <t>760-MAIN</t>
  </si>
  <si>
    <t>Calibrating Beyond English: Language Diversity for Better Quantized Multilingual LLMs</t>
  </si>
  <si>
    <t>Quantization is an effective technique for reducing the storage footprint and computational costs of Large Language Models (LLMs), but it often results in performance degradation. Existing post-training quantization methods typically use small, English-only calibration sets; however, their impact on multilingual models remains underexplored. We systematically evaluate eight calibration settings (five single-language and three multilingual mixes) across two quantizers (GPTQ, AWQ) on data from 10 different languages. Our findings reveal a consistent trend: non-English and multilingual calibration sets significantly improve perplexity compared to English-only baselines. Specifically, we observe notable average perplexity gains across both quantizers on Llama3.1 8B and Qwen2.5 7B, with multilingual mixes achieving the largest overall reductions of up to 3.52 perplexity gain. Furthermore, our analysis indicates that tailoring calibration sets to the evaluation language yields the largest improvements for individual languages, underscoring the importance of linguistic alignment. We also identify specific failure cases where certain language-quantizer combinations degrade performance, which we trace to differences in activation range distributions across languages. These results highlight that static, one-size-fits-all calibration is suboptimal, and that tailoring calibration data, both in language and diversity, plays a crucial role in robustly quantizing multilingual LLMs.</t>
  </si>
  <si>
    <t>Everlyn Asiko Chimoto; Mostafa Elhoushi; Bruce Bassett</t>
  </si>
  <si>
    <t>Everlyn Asiko Chimoto</t>
  </si>
  <si>
    <t>763-MAIN</t>
  </si>
  <si>
    <t>LaCoMSA: Language-Consistency Multilingual Self-Alignment with Latent Representation Rewarding</t>
  </si>
  <si>
    <t>Large Language Models (LLMs) have achieved impressive performance yet remain inconsistent across languages, often defaulting to high-resource outputs such as English. Existing multilingual alignment methods mitigate these issues through preference optimization but rely on external supervision, such as translation systems or English-biased signal. We propose Multilingual Self-Alignment (MSA), a targeted preference optimization framework that leverages an LLMвЂ™s own latent representations as intrinsic supervision signals, rewarding lower-resource language outputs based on their alignment with high-resource (English) counterparts in the "semantic hub". We further introduce Language-Consistency MSA (LaCoMSA), which augments MSA with a final-layer language-consistency factor to prevent off-target generation. Integrated with Direct Preference Optimization, LaCoMSA improves a Llama 3 8B-based model multilingual win rates by up to 6.8% absolute (55.0% relatively) on X-AlpacaEval and achieves consistent gains across benchmarks and models. Our findings demonstrate that LaCoMSA can serve as an effective and scalable mechanism, opening a new venue toward multilingual self-alignment.</t>
  </si>
  <si>
    <t>Khanh-Tung Tran; Barry O'Sullivan; Hoang D. Nguyen</t>
  </si>
  <si>
    <t>Khanh-Tung Tran</t>
  </si>
  <si>
    <t>771-MAIN</t>
  </si>
  <si>
    <t>Recursive numeral systems are highly regular and easy to process</t>
  </si>
  <si>
    <t>Previous work has argued that recursive numeral systems optimise the trade-off between lexicon size and average morphosyntatic complexity (DeniД‡ and Szymanik, 2024). However, showing that only natural-language-like systems optimise this tradeoff has proven elusive, and the existing solution has relied on ad-hoc constraints to rule out unnatural systems (Yang and Regier, 2025). Here, we argue that this issue arises because the proposed trade-off has neglected regularity, a crucial aspect of complexity central to human grammars in general. Drawing on the Minimum Description Length (MDL) approach, we propose that recursive numeral systems are better viewed as efficient with regard to their regularity and processing complexity. We show that our MDL-based measures of regularity and processing complexity better capture the key differences between attested, natural systems and unattested but possible ones, including ``optimal'' recursive numeral systems from previous work, and that the ad-hoc constraints from previous literature naturally follow from regularity. Our approach highlights the need to incorporate regularity across sets of forms in studies that attempt to measure and explain optimality in language.</t>
  </si>
  <si>
    <t>Ponrawee Prasertsom; Andrea Silvi; Jennifer Culbertson; Devdatt Dubhashi; Moa Johansson; Kenny Smith</t>
  </si>
  <si>
    <t>Ponrawee Prasertsom</t>
  </si>
  <si>
    <t>772-MAIN</t>
  </si>
  <si>
    <t>Bringing Emerging Architectures to Sequence Labeling in NLP</t>
  </si>
  <si>
    <t>Pretrained Transformer encoders are the dominant approach to sequence labeling. While some alternative architectures-such as xLSTMs, structured state-space models, diffusion models, and adversarial learning-have shown promise in language modeling, few have been applied to sequence labeling, and mostly on flat or simplified tasks. We study how these architectures adapt across tagging tasks that vary in structural complexity, label space, and token dependencies, with evaluation spanning multiple languages. We find that the strong performance previously observed in simpler settings does not always generalize well across languages or datasets, nor does it extend to more complex structured tasks.</t>
  </si>
  <si>
    <t>Ana Ezquerro; Carlos GГіmez-RodrГ­guez; David Vilares</t>
  </si>
  <si>
    <t>Carlos Gómez-Rodríguez</t>
  </si>
  <si>
    <t>781-MAIN</t>
  </si>
  <si>
    <t>DITTO: A Spoofing Attack Framework on Watermarked LLMs via Knowledge Distillation</t>
  </si>
  <si>
    <t>The promise of LLM watermarking rests on a core assumption that a specific watermark proves authorship by a specific model. We demonstrate that this assumption is dangerously flawed. We introduce the threat of watermark spoofing, a sophisticated attack that allows a malicious model to generate text containing the authentic-looking watermark of a trusted, victim model. This enables the seamless misattribution of harmful content, such as disinformation, to reputable sources. The key to our attack is repurposing watermark radioactivity, the unintended inheritance of data patterns during fine-tuning, from a discoverable trait into an attack vector. By distilling knowledge from a watermarked teacher model, our framework allows an attacker to steal and replicate the watermarking signal of the victim model. This work reveals a critical security gap in text authorship verification and calls for a paradigm shift towards technologies capable of distinguishing authentic watermarks from expertly imitated ones. Our code is available at https://anonymous.4open.science/r/ditto-8838/.</t>
  </si>
  <si>
    <t>Hyeseon Ahn; Shinwoo Park; Suyeon Woo; Yo-Sub Han</t>
  </si>
  <si>
    <t>Hyeseon An</t>
  </si>
  <si>
    <t>784-MAIN</t>
  </si>
  <si>
    <t>CASE вЂ“ Condition-Aware Sentence Embeddings for Conditional Semantic Textual Similarity Measurement</t>
  </si>
  <si>
    <t>The meaning conveyed by a sentence often depends on the context in which it appears. Despite the progress of sentence embedding methods, it remains unclear as how to best modify a sentence embedding conditioned on its context. To address this problem, we propose Condition-Aware Sentence Embeddings (CASE), an efficient and accurate method to create an embedding for a sentence under a given condition. First, CASE creates an embedding for the condition using an Large Language Model (LLM) encoder, where the sentence influences the attention scores computed for the tokens in the condition during pooling. Next, a supervised method is learnt to align the LLM-based text embeddings with the Conditional Semantic Textual Similarity (C-STS) task. We find that subtracting the condition embedding will consistently improve the C-STS performance of LLM-based text embeddings and improve the isotropy of the embedding space. Moreover, our supervised projection method significantly improves the performance of LLM-based embeddings despite requiring a small number of embedding dimensions.</t>
  </si>
  <si>
    <t>Gaifan Zhang; Yi Zhou; Danushka Bollegala</t>
  </si>
  <si>
    <t>Gaifan Zhang</t>
  </si>
  <si>
    <t>786-MAIN</t>
  </si>
  <si>
    <t>Evaluation and LLM-Guided Learning of ICD Coding Rationales</t>
  </si>
  <si>
    <t>ICD coding is the process of mapping unstructured text from Electronic Health Records (EHRs) to standardised codes defined by the International Classification of Diseases (ICD) system. In order to promote trust and transparency, existing explorations on the explainability of ICD coding models primarily rely on attention-based rationales and qualitative assessments conducted by physicians, yet lack a systematic evaluation across diverse types of rationales using consistent criteria and high-quality rationale-annotated datasets specifically designed for the ICD coding task. Moreover, there remains a scarcity of dedicated methods explicitly trained to generate plausible rationales. In this work, we present evaluations of the explainability of rationales in ICD coding, focusing on two fundamental dimensions: faithfulness and plausibility. To enable the systematic evaluation of plausibility, we construct a new rationale-annotated dataset specifically for ICD coding, constructed in accordance with the updating MIMIC-IV database and the ICD-10 coding system. This dataset features richer annotations with diverse levels of granularity. We conduct a comprehensive evaluation across three types of ICD coding rationales: entity-level mentions derived from entity linking dataset, LLM-generated rationales, and attention-based rationales. Building upon the strong plausibility exhibited by LLM-generated rationales, we further leverage them as distant supervision signals to develop rationale learning methods. Additionally, by prompting the LLM with few-shot human-annotated examples from our dataset, we achieve notable improvements in the plausibility of rationale generation in both the teacher LLM and the student rationale learning models.</t>
  </si>
  <si>
    <t>Mingyang Li; Viktor Schlegel; Tingting Mu; Wuraola Oyewusi; Kai Kang; Goran Nenadic</t>
  </si>
  <si>
    <t>Mingyang Li</t>
  </si>
  <si>
    <t>787-MAIN</t>
  </si>
  <si>
    <t>Evaluating the Effect of Retrieval Augmentation on Social Biases</t>
  </si>
  <si>
    <t>Retrieval Augmented Generation (RAG) is a popular method for injecting up-to-date information into Large Language Model (LLM)-based Natural Language Generation (NLG) systems. While RAG can enhance factual accuracy, its effect on the social biases inherent in LLMs is not well understood. This paper systematically investigates how RAG modulates social biases across three languages (English, Japanese, and Chinese) and four categories (gender, race, age, and religion). By evaluating various generator LLMs on the BBQ benchmark, we analyse how document collections with controlled stereotypical content affect RAG outputs. We find that biases present in the retrieved documents are often significantly amplified in the generated texts, even when the base LLM itself has a low-level of intrinsic bias. These findings raise concerns about the social fairness of RAG systems, underscoring the urgent need for careful bias evaluation before real-world deployment.</t>
  </si>
  <si>
    <t>Tianhui Zhang; Yi Zhou; Danushka Bollegala</t>
  </si>
  <si>
    <t>Tianhui Zhang</t>
  </si>
  <si>
    <t>789-MAIN</t>
  </si>
  <si>
    <t>Persuasion at Play: Understanding Misinformation Dynamics in Demographic-Aware Human-LLM Interactions</t>
  </si>
  <si>
    <t>Existing challenges in misinformation exposure and susceptibility vary across demographics, as some populations are more vulnerable to misinformation than others. Large language models (LLMs) introduce new dimensions to these challenges through their ability to generate persuasive content at scale and reinforcing existing biases. This study investigates the bidirectional persuasion dynamics between LLMs and humans when exposed to misinformative content. We analyze human-to-LLM influence using human-stance datasets and assess LLM-to-human influence by generating LLM-based persuasive arguments. Additionally, we use a multi-agent LLM framework to analyze the spread of misinformation under persuasion among demographic-oriented LLM agents. Our findings show that demographic factors influence LLM susceptibility, with up to 15 percentage point differences in correctness across groups. Multi-agent LLMs also exhibit echo chamber behavior, aligning with human-like group polarization patterns. Therefore, this work highlights demographic divides in misinformation dynamics and offers insights for future interventions.</t>
  </si>
  <si>
    <t>Angana Borah; Rada Mihalcea; Veronica Perez-Rosas</t>
  </si>
  <si>
    <t>Angana Borah</t>
  </si>
  <si>
    <t>791-MAIN</t>
  </si>
  <si>
    <t>Entropy-Gated Branching for Efficient Test-Time Reasoning</t>
  </si>
  <si>
    <t>Test-time compute methods can significantly improve the reasoning capabilities and problem-solving accuracy of large language models. However, these approaches require substantially more computational resources, with most computation wasted on exploring low-diversity branches where the model already exhibits high confidence. We observe that a small subset of uncertain reasoning steps has a disproportionately large impact on final prediction accuracy, and branching at these points tends to yield higher-quality and more diverse candidate reasoning steps. Therefore, we introduce EntropyвЂ‘Gated Branching: a novel inference technique that dynamically allocates computational resources by selectively expanding prediction sequences only at points of high uncertainty. Our method leverages entropy as a gating mechanism to identify when branching is most beneficial, coupled with an external feedback model to rank and prune candidate branches. Empirical results on mathematical and financial reasoning benchmarks show that this strategy improves accuracy by 22.6% over standard inference while operating 31%-75% faster across math benchmarks than test-time beam search with higher performance. Our results show that dynamic resource allocation during inference can substantially improve both efficiency and effectiveness, offering a more scalable pathway to enhanced LLM reasoning capabilities.</t>
  </si>
  <si>
    <t>Xianzhi Li; Ethan Callanan; Abdellah Ghassel; Xiaodan Zhu</t>
  </si>
  <si>
    <t>Xianzhi Li</t>
  </si>
  <si>
    <t>793-MAIN</t>
  </si>
  <si>
    <t>Decomposition-Enhanced Training for Post-Hoc Attributions in Language Models</t>
  </si>
  <si>
    <t>Large language models (LLMs) are increasingly used for long-document question answering, where reliable attribution to sources is critical for trust. Existing post-hoc attribution methods work well for extractive QA but struggle in multi-hop, abstractive, and semi-extractive settings, where answers synthesize information across passages. To address these challenges, we argue that post-hoc attribution can be reframed as a reasoning problem, where answers are decomposed into constituent units, each tied to specific context. We first show that prompting models to generate such decompositions alongside attributions improves performance. Building on this, we introduce DecompTune, a post-training method that teaches models to produce answer decompositions as intermediate reasoning steps. We curate a diverse dataset of complex QA tasks, annotated with decompositions by a strong LLM, and post-train Qwen-2.5 (7B and 14B) using a two-stage SFT + GRPO pipeline with task-specific curated rewards. Across extensive experiments and ablations, DecompTune substantially improves attribution quality, outperforming prior methods and matching or exceeding state-of-the-art frontier models.</t>
  </si>
  <si>
    <t>Sriram Balasubramanian; Samyadeep Basu; Koustava Goswami; Ryan A. Rossi; Varun Manjunatha; Roshan Santhosh; Ruiyi Zhang; Soheil Feizi; Nedim Lipka</t>
  </si>
  <si>
    <t>Sriram Balasubramanian</t>
  </si>
  <si>
    <t>795-MAIN</t>
  </si>
  <si>
    <t>Persuasion Tokens for Editing Factual Knowledge in LLMs</t>
  </si>
  <si>
    <t>In-context knowledge editing (IKE) is a promising technique for updating Large Language Models (LLMs) with new information. However, IKE relies on lengthy, fact-specific demonstrations which are costly to create and consume significant context window space. In this paper, we introduce persuasion tokens (P-Tokens) -- special tokens trained to replicate the effect of IKE demonstrations, enabling efficient knowledge editing without requiring fact-specific demonstrations. We evaluate P-Tokens across two editing datasets and three LLMs, demonstrating performance comparable to, and often exceeding, IKE. We further find that editing performance is robust to distractors with some negative effects to neighboring facts, and that increasing the number of P-Tokens improves performance. Our work addresses key limitations of IKE and provides a more practical and scalable alternative for editing LLMs.</t>
  </si>
  <si>
    <t>Paul Youssef; JГ¶rg SchlГ¶tterer; Christin Seifert</t>
  </si>
  <si>
    <t>Paul Youssef</t>
  </si>
  <si>
    <t>797-MAIN</t>
  </si>
  <si>
    <t>NLP for Social Good: A Survey and Outlook of Challenges, Opportunities and Responsible Deployment</t>
  </si>
  <si>
    <t>Natural language processing (NLP) now shapes many aspects of our world, yet its social benefits are underexplored. This paper surveys work in NLP for Social Good (NLP4SG) across nine domains relevant to global development and risk agendas, summarizing principal tasks and challenges. We also analyze ACL Anthology trends, finding that inclusion and AI harms attract the most research, while domains such as poverty, peacebuilding, and environmental protection remain underexplored. Guided by our review, we outline opportunities for responsible and equitable NLP and conclude with a call for cross-disciplinary partnerships and human-centered approaches to ensure that future NLP advances the public good.</t>
  </si>
  <si>
    <t>Antonia Karamolegkou; Angana Borah; Eunjung Cho; Sagnik Ray Choudhury; Martina Galletti; Pranav Gupta; Oana Ignat; Priyanka Kargupta; Neema Kotonya; Hemank Lamba; Sun-Joo Lee; Arushi Mangla; Ishani Mondal; Fatima Zahra Moudakir; Deniz Nazarova; Poli Nemkova; Dina Pisarevskaya; Naquee Rizwan; Nazanin Sabri; Keenan Samway; Dominik Stammbach; Anna Steinberg; David TomГЎs; Steven R Wilson; Jessica H Zhu; Arkaitz Zubiaga; Anders SГёgaard; Alexander Fraser; Zhijing Jin; Rada Mihalcea; Joel R. Tetreault; Daryna Dementieva</t>
  </si>
  <si>
    <t>Daryna Dementieva</t>
  </si>
  <si>
    <t>802-MAIN</t>
  </si>
  <si>
    <t>Investigating Language and Retrieval Bias in Multilingual Previously Fact-Checked Claim Detection</t>
  </si>
  <si>
    <t>Multilingual Large Language Models (LLMs) offer powerful capabilities for cross-lingual fact-checking. However, these models often exhibit language bias, performing disproportionately better on high-resource languages such as English than on low-resource counterparts. We also present and inspect a novel concept - retrieval bias, when information retrieval systems tend to favor certain information over others, leaving the retrieval process skewed. In this paper, we study language and retrieval bias in the context of Previously Fact-Checked Claim Detection (PFCD). We evaluate six open-source multilingual LLMs across 20 languages using a fully multilingual prompting strategy, leveraging the AMC-16K dataset. By translating task prompts into each language, we uncover disparities in monolingual and cross-lingual performance and identify key trends based on model family, size, and prompting strategy. Our findings highlight persistent bias in LLM behavior and offer recommendations for improving equity in multilingual fact-checking. To investigate retrieval bias, we employed multilingual embedding models and look into the frequency of retrieved claims. Our analysis reveals that certain claims are retrieved disproportionately across different posts, leading to inflated retrieval performance for popular claims while under-representing less common ones.</t>
  </si>
  <si>
    <t>Ivan Vykopal; Antonia Karamolegkou; Jaroslav KopДЌan; Qiwei Peng; TomГЎЕЎ JavЕЇrek; Michal Gregor; Marian Simko</t>
  </si>
  <si>
    <t>807-MAIN</t>
  </si>
  <si>
    <t>FFE-Hallu: Hallucinations in Fixed Figurative Expressions: A Benchmark of Idioms and Proverbs in the Persian Language</t>
  </si>
  <si>
    <t>Figurative language, especially fixed figurative expressions (FFEs) such as idioms and proverbs, poses unique challenges for large language models (LLMs). Unlike literal phrases, FFEs are culturally grounded and often non-compositional, making them vulnerable to figurative hallucination, the generation or acceptance of plausible-sounding but culturally invalid expressions. We introduce \textbf{FFE-Hallu}, the first comprehensive benchmark for evaluating LLMsвЂ™ ability to generate, detect, and translate FFEs in Persian, a linguistically rich but underrepresented language. FFE-Hallu includes 600 carefully curated examples spanning three tasks: FFE generation from meaning, detection of fabricated FFEs (across four controlled categories), and FFE-to-FFE translation from English to Persian. Our evaluation of six state-of-the-art multilingual LLMs reveals persistent weaknesses in both cultural grounding and figurative competence. While models like GPT-4.1 display relative strength in rejecting fabricated FFEs and retrieving authentic ones, most systems struggle to reliably distinguish real FFEs from high-quality fabrications and often hallucinate in translation. This work shows that LLMs still have important gaps in understanding and using figurative language, and that specialized benchmarks like FFE-Hallu are needed.</t>
  </si>
  <si>
    <t>Faezeh Hosseini; Mohammadali Yousefzadeh; Yadollah Yaghoobzadeh</t>
  </si>
  <si>
    <t>Faezeh Hosseini</t>
  </si>
  <si>
    <t>808-MAIN</t>
  </si>
  <si>
    <t>MEVER: Multi-Modal and Explainable Claim Verification with Graph-based Evidence Retrieval</t>
  </si>
  <si>
    <t>Verifying the truthfulness of claims usually requires joint multi-modal reasoning over both textual and visual evidence, such as analyzing both textual caption and chart image for claim verification. In addition, to make the reasoning process transparent, a textual explanation is necessary to justify the verification result. However, most claim verification works mainly focus on the reasoning over textual evidence only or ignore the explainability, resulting in inaccurate and unconvincing verification. To address this problem, we propose a novel model that jointly achieves evidence retrieval, multi-modal claim verification, and explanation generation. For evidence retrieval, we construct a two-layer multi-modal graph for claims and evidence, where we design image-to-text and text-to-image reasoning for multi-modal retrieval. For claim verification, we propose token- and evidence-level fusion to integrate claim and evidence embeddings for multi-modal verification. For explanation generation, we introduce multi-modal Fusion-in-Decoder for explainability. Finally, since almost all the datasets are in general domain, we create a scientific dataset, AIChartClaim, in AI domain to complement claim verification community. Experiments show the strength of our model. Code and data are submitted. We will release them upon publication.</t>
  </si>
  <si>
    <t>Delvin Ce Zhang; Suhan Cui; Zhelin Chu; Xianren Zhang; Dongwon Lee</t>
  </si>
  <si>
    <t>Delvin Ce Zhang</t>
  </si>
  <si>
    <t>811-MAIN</t>
  </si>
  <si>
    <t>DuwatBench: Bridging Language and Visual Heritage through an Arabic Calligraphy Benchmark for Multimodal Understanding</t>
  </si>
  <si>
    <t>Arabic calligraphy represents one of the richest visual traditions of the Arabic language, blending linguistic meaning with artistic form. Although multimodal models have advanced across languages, their ability to process Arabic script, especially in artistic and stylized calligraphic forms, remains largely unexplored. To address this gap, we present DuwatBench, a benchmark of 1,050 curated samples containing about 1,400 words across 6 classical and modern calligraphic styles, each paired with sentence-level detection annotations. The dataset reflects real-world challenges in Arabic writing, such as complex stroke patterns, dense ligatures, and stylistic variations that often challenge standard text recognition systems. Using DuwatBench, we evaluated 13 leading Arabic and multilingual multimodal models and show that while they perform well in clean text, they struggle with calligraphic variation, artistic distortions, and precise visualвЂ“text alignment. By publicly releasing DuwatBench and its annotations, we aim to advance culturally grounded multimodal research, foster fair inclusion of Arabic language and visual heritage in AI systems, and support continued progress in this area. Our benchmark and the evaluation suit will be publicly available.</t>
  </si>
  <si>
    <t>Shubham Patle; Sara Ghaboura; Hania Tariq; Mohammad Usman Khan; Omkar Thawakar; Rao Muhammad Anwer; Salman Khan</t>
  </si>
  <si>
    <t>Shubham Patle</t>
  </si>
  <si>
    <t>815-MAIN</t>
  </si>
  <si>
    <t>ConvApparel: A Benchmark Dataset and Validation Framework for User Simulators in Conversational Recommenders</t>
  </si>
  <si>
    <t>The promise of LLM-based user simulators to improve conversational AI is hindered by a critical "realism gap," leading to systems that are optimized for simulated interactions, but may fail in the real world. We introduce ConvApparel, a new dataset of human-AI conversations designed to better understand this gap. Its unique dual-agent data collection protocol, using both "good" and "bad" recommenders, enables counterfactual validation by capturing a wide spectrum of user experiences, enriched with first-person annotations of user satisfaction. We propose a comprehensive validation framework that combines statistical alignment, a human-likeness score, and counterfactual validation to test for generalization. Our experiments reveal a significant realism gap across all simulators. However, the framework also shows that data-driven methods consistently outperform a prompted baseline, particularly in counterfactual validation where they adapt more realistically to unseen behaviors, indicating a more robust, if imperfect, user model.</t>
  </si>
  <si>
    <t>Ofer Meshi; Krisztian Balog; Sally Goldman; Avi Caciularu; Guy Tennenholtz; Jihwan Jeong; Amir Globerson; Craig Boutilier</t>
  </si>
  <si>
    <t>Ofer Meshi</t>
  </si>
  <si>
    <t>816-MAIN</t>
  </si>
  <si>
    <t>Detecting Latin in Historical Books with Large Language Models: A Multimodal Benchmark</t>
  </si>
  <si>
    <t>This paper presents a novel task of extracting Latin fragments from mixed-language historical documents with varied layouts. We benchmark and evaluate the performance of large foundation models against a multimodal dataset of 724 annotated pages. The results demonstrate that reliable Latin detection with contemporary models is achievable. Our study provides the first comprehensive analysis of these models' capabilities and limits for this task.</t>
  </si>
  <si>
    <t>Yu Wu; Ke Shu; Jonas Fischer; Lidia Pivovarova; David Rosson; Eetu MГ¤kelГ¤; Mikko Tolonen</t>
  </si>
  <si>
    <t>Yu Wu</t>
  </si>
  <si>
    <t>818-MAIN</t>
  </si>
  <si>
    <t>Persistent Personas? Role-Playing, Instruction Following, and Safety in Extended Interactions</t>
  </si>
  <si>
    <t>Persona-assigned large language models (LLMs) are used in domains such as education, healthcare, and sociodemographic simulation. Yet, they are typically evaluated only in short, single-round settings that do not reflect real-world usage. We introduce an evaluation protocol that combines long persona dialogues (over 100 rounds) and evaluation datasets to create dialogue-conditioned benchmarks that can robustly measure long-context effects. We then investigate the effects of dialogue length on persona fidelity, instruction-following, and safety of seven state-of-the-art open- and closed-weight LLMs. We find that persona fidelity degrades over the course of dialogues, especially in goal-oriented conversations, where models must sustain both persona fidelity and instruction following. We identify a trade-off between fidelity and instruction following, with non-persona baselines initially outperforming persona-assigned models; as dialogues progress and fidelity fades, persona responses become increasingly similar to baseline responses. Our findings highlight the fragility of persona applications in extended interactions and our work provides a protocol to systematically measure such failures.</t>
  </si>
  <si>
    <t>Pedro Henrique Luz de Araujo; Michael A. Hedderich; Ali Modarressi; Hinrich Schuetze; Benjamin Roth</t>
  </si>
  <si>
    <t>Pedro Henrique Luz de Araujo</t>
  </si>
  <si>
    <t>819-MAIN</t>
  </si>
  <si>
    <t>CliniBench: A Clinical Outcome Prediction Benchmark for Generative and Encoder-Based Language Models</t>
  </si>
  <si>
    <t>With their growing capabilities, generative large language models (LLMs) are being increasingly investigated for complex medical tasks. However, their effectiveness in real-world clinical applications remains underexplored. To address this, we present CliniBench, the first benchmark that enables comparability of well-studied encoder-based classifiers and generative LLMs for discharge diagnosis prediction from admission notes in MIMIC-IV dataset. Our extensive study compares 12 generative LLMs and 3 encoder-based classifiers and demonstrates that encoder-based classifiers consistently outperform generative models in diagnosis prediction. We assess several retrieval augmentation strategies for in-context learning from similar patients and find that they provide notable performance improvements for generative LLMs.</t>
  </si>
  <si>
    <t>Paul Grundmann; Dennis Fast; Jan Frick; Thomas Steffek; Felix Gers; Wolfgang Nejdl; Alexander LГ¶ser</t>
  </si>
  <si>
    <t>Jan Frick</t>
  </si>
  <si>
    <t>828-MAIN</t>
  </si>
  <si>
    <t>DIVINE : Coordinating Multimodal Disentangled Representations for Oro-Facial Neurological Disorder Assessment</t>
  </si>
  <si>
    <t>In this study, we present a multimodal framework for predicting neuro-facial disorders by capturing both vocal and facial cues. We hypothesize that explicitly disentangling shared and modality-specific representations within multimodal foundation model embeddings can enhance clinical interpretability and generalization. To validate this hypothesis, we propose DIVINE (DIsentangled Variational INformation NEtwork), a fully disentangled multimodal framework that operates on representations extracted from state-of-the-art (SOTA) audio and video foundation models, incorporating hierarchical variational bottlenecks, sparse gated fusion, and learnable symptom tokens. DIVINE operates in a multitask learning setup to jointly predict diagnostic categories (Healthy Control, ALS, Stroke) and severity levels (Mild, Moderate, Severe). The model is trained using synchronized audio and video inputs and evaluated on the Toronto NeuroFace dataset under full (audio-video) as well as single-modality (audio-only and video-only) test conditions. Our proposed approach achieves SOTA results, with the DeepSeek-VL2 and TRILLsson combination reaching 98.26% accuracy and 97.51% F1-score. Under modality-constrained scenarios, the framework performs well, showing strong generalization when tested with video-only or audio-only inputs. It consistently yields superior performance compared to unimodal models and baseline fusion techniques. To the best of our knowledge, this is the first framework that combines cross-modal disentanglement, adaptive fusion, and multitask learning to comprehensively assess neurological disorders using synchronized speech and facial video. Code and model weights will be released upon the completion of the double-blind review process.</t>
  </si>
  <si>
    <t>Mohd Mujtaba Akhtar; Girish; Muskaan Singh</t>
  </si>
  <si>
    <t>Girish</t>
  </si>
  <si>
    <t>831-MAIN</t>
  </si>
  <si>
    <t>Bridging Attribution and Open-Set Detection using Graph-Augmented Instance Learning in Synthetic Speech</t>
  </si>
  <si>
    <t>We propose a unified framework for not only attributing synthetic speech to its source but also for detecting speech generated by synthe sizers that were not encountered during training. This requires methods that move beyond simple detection to support both detailed foren- sic analysis and open-set generalization. To address this, we introduce SIGNAL, a hybrid framework that combines speech foundation models (SFMs) with graph-based modeling and open-set-aware inference. Our framework integrates Graph Neural Networks (GNNs) and a k-Nearest Neighbor (KNN) classifier, allowing it to capture meaningful relationships between utterances and recognize speech that doesnвЂ™t belong to any known generator. It builds a dynamic graph where utterances are connected based on how closely their learned representations align, enabling the GNN to capture subtle relationships across samples. Meanwhile, the KNN branch handles open-set detection through confidence-based thresholding. We evaluate SIGNAL using the DiffSSD dataset, which offers a diverse mix of real speech and synthetic audio from both open-source and commercial diffusion-based TTS systems. To further assess generalization, we also test on the SingFake benchmark. Our results show that SIGNAL consistently improves performance across both tasks, with Mamba based embeddings delivering especially strong results. To the best of our knowledge, this is the first study to unify graph-based learning and open-set detection for tracing synthetic speech back to its origin.</t>
  </si>
  <si>
    <t>Mohd Mujtaba Akhtar; Girish; Farhan Sheth; Muskaan Singh</t>
  </si>
  <si>
    <t>851-MAIN</t>
  </si>
  <si>
    <t>ToolDreamer: Instilling LLM Reasoning Into Tool Retrievers</t>
  </si>
  <si>
    <t>Tool calling has become increasingly popular for Large Language Models (LLMs). However, for large tool sets, the resulting tokens would exceed the LLM's context window limit, making it impossible to include every tool. Hence, an external retriever is used to provide LLMs with the most relevant tools for a query. Existing retrieval models rank tools based on the similarity between a user query and a tool description (TD). This leads to suboptimal retrieval as user requests are often poorly aligned with the language of TD. To remedy the issue, we propose ToolDreamer, a framework to condition retriever models to fetch tools based on hypothetical (synthetic) TD generated using an LLM, i.e., description of tools that the LLM feels will be potentially useful for the query. The framework enables a more natural alignment between queries and tools within the language space of TD's. We apply ToolDreamer on the ToolRet dataset and show that our method improves the performance of sparse and dense retrievers with and without training, thus showcasing its flexibility. Through our proposed framework, our aim is to offload a portion of the reasoning burden to the retriever so that the LLM may effectively handle a large collection of tools without inundating its context window.</t>
  </si>
  <si>
    <t>Saptarshi Sengupta; Zhengyu Zhou; Jun Araki; Xingbo Wang; Bingqing Wang; Suhang Wang; Zhe Feng</t>
  </si>
  <si>
    <t>Zhengyu Zhou</t>
  </si>
  <si>
    <t>855-MAIN</t>
  </si>
  <si>
    <t>An Empirical Study of Speculative Decoding for Small Language Models</t>
  </si>
  <si>
    <t>Speculative decoding has emerged as a promising approach to accelerate Large Language Model inference. However, existing research has predominantly focused on 7B-70B parameters models, leaving a critical knowledge gap for small language models (1-2B parameters) that are increasingly important for edge computing and agentic AI systems. This paper presents the first comprehensive empirical study of speculative decoding techniques for small language models. We evaluate five distinct method categories across three representative model families and reveal that drafting overhead, rather than draft quality, becomes the primary bottleneck fundamentally limiting acceleration of small models. We demonstrate that traditional independent drafting fails completely due to the suboptimal architecture of available drafters, while self-drafting methods achieve meaningful acceleration only when employing sufficiently efficient draft modules. In contrast, retrieval-based methods with negligible computational overhead yield consistent gains. Based on these insights, we establish practical guidelines for effective small model acceleration.</t>
  </si>
  <si>
    <t>Luca Mainardi; Selcuk Sandikci; Joaquin Vanschoren</t>
  </si>
  <si>
    <t>Luca Mainardi</t>
  </si>
  <si>
    <t>856-MAIN</t>
  </si>
  <si>
    <t>Lost in Formatting: How Output Formats Skew LLM Performance on Information Extraction</t>
  </si>
  <si>
    <t>We investigate how the choice of output format influences the fine-tuning performance of large language models on sequence labelling- based information extraction tasks. Across more than 280 experiments spanning multiple benchmarks, model families, and formats, we find that the output format is a critical yet often overlooked hyperparameter. In some cases, the choice of format alone can shift F1 scores by over 40% on the same dataset and model. Further, we observe that no single format consistently dominates across settingsвЂ”the optimal choice depends on factors like model family, size and dataset characteristics. Overall, these results demonstrate that even informationally equivalent output formats can produce substantial performance variation, highlighting the need to treat output formatting as a key factor in building robust and reliable information extraction systems.</t>
  </si>
  <si>
    <t>Rishi Ravikumar; Nuhu Ibrahim; Riza Batista-Navarro</t>
  </si>
  <si>
    <t>Rishi Ravikumar</t>
  </si>
  <si>
    <t>859-MAIN</t>
  </si>
  <si>
    <t>Pseudo-Likelihood Training for Reasoning Diffusion Language Models</t>
  </si>
  <si>
    <t>Policy-gradient reinforcement learning (PGRL) form the backbone of current methods used to improve language model reasoning. However, these methods are incompatible with diffusion based language models (dLLMs). Most attempts to apply PGRL to dLLMs, either are extremely unscalable or use unprincipled approximations. Our proposed framework uses a novel pseudo-likelihood based objective for alignment of dLLMs. Our objective has the same optima as PGRL based optimization, but does not need to evaluate exact likelihood from dLLMs, thus providing a principled and practical alternative for fine-tuning of dLLMs. Additionally other than the pseudo-likelihood based objective, we present two computationally efficient approximations to allow for scalable training. Experiments on multiple reasoning and coding benchmarks show that our proposals match or surpasses the performance of GRPO and related baselines.</t>
  </si>
  <si>
    <t>Shiv Shankar</t>
  </si>
  <si>
    <t>860-MAIN</t>
  </si>
  <si>
    <t>RoSE: Round-robin Synthetic Data Evaluation for Selecting LLM Generators without Human Test Sets</t>
  </si>
  <si>
    <t>LLMs are powerful generators of synthetic data, which are used for training smaller, specific models. This is especially valuable for low-resource languages, where human-labelled data is scarce but LLMs can still produce high-quality text. However, LLMs differ in how useful their outputs are for training. Selecting the best LLM as a generator is challenging because extrinsic evaluation requires costly human annotations (which are often unavailable for low-resource languages), while intrinsic metrics correlate poorly with downstream performance. We introduce Round-robin Synthetic data Evaluation (RoSE), a proxy metric for selecting the best LLM generator without human test sets. RoSE trains a small model on the outputs of a candidate generator (LLM) and then evaluates it on generated synthetic examples from all other candidate LLMs. The final RoSE score is the mean performance of this small model. Across six LLMs, eleven languages, and three tasks (sentiment, topic, intent), RoSE identifies the optimal generator more often than any other intrinsic heuristics. RoSE outperforms intrinsic heuristics and comes within 0.76 percentage points of the optimal generator baseline. This result is measured in terms of downstream performance, obtained by training a small model on the chosen generatorвЂ™s outputs (optimal vs. proxy-metricвЂ“selected) and evaluating it on human-labelled test data. Additionally, RoSE is the only metric to achieve a positive correlation with performance on human test data.</t>
  </si>
  <si>
    <t>Jan Cegin; Branislav Pecher; Ivan Srba; Jakub Simko</t>
  </si>
  <si>
    <t>Jan Cegin</t>
  </si>
  <si>
    <t>867-MAIN</t>
  </si>
  <si>
    <t>RotBench: Evaluating Multi-modal Large Language Models on Identifying Image Rotation</t>
  </si>
  <si>
    <t>We investigate to what extent Multi-modal Large Language Models (MLLMs) can accurately identify the orientation of input images rotated 0В°, 90В°, 180В°, and 270В°. This task demands robust visual reasoning capabilities to detect rotational cues and contextualize spatial relationships within images regardless of their orientation. To evaluate MLLMs on these abilities, we introduce RotBench -- a 350-image manually-filtered benchmark comprised of lifestyle, portrait, and landscape images. Despite the relatively simple nature of this task, we show several state-of-the-art open and proprietary MLLMs do not reliably identify rotation in input images. Providing models with additional information -- including captions, segmentation maps, and more -- or using chain-of-thought prompting offers only small and inconsistent improvements. Our results indicate most models are able to reliably identify right-side up (0В°) images, while certain models are able to identify up-side down (180В°) images. None can reliably distinguish between 90В° and 270В°. Simultaneously showing the image rotated in different orientations leads to moderate performance gains in reasoning models, while a modified setup using voting improves performance in weaker models. We further show fine-tuning does not improve models' ability to distinguish 90В° and 270В°, despite substantially improving identification of 180В° images. Together, these results reveal a significant gap between MLLMs' spatial reasoning capabilities and human perception in identifying rotation.</t>
  </si>
  <si>
    <t>Tianyi Niu; Jaemin Cho; Elias Stengel-Eskin; Mohit Bansal</t>
  </si>
  <si>
    <t>Tianyi Niu</t>
  </si>
  <si>
    <t>877-MAIN</t>
  </si>
  <si>
    <t>Chat-TS: Enhancing Multi-Modal Reasoning Over Time-Series and Natural Language Data</t>
  </si>
  <si>
    <t>Large language models are being rapidly applied across many fields such as healthcare, finance, transportation, and energy, among many others. These applications often involve analyzing time-series data alongside contextual information in the form of natural language to support informed decisions. However, current time-series models are limited in their ability to perform reasoning that involves both time-series and their textual content. In this work, we address this gap by introducing Chat-TS, a large language model (LLM) based framework designed to support reasoning over time series and textual data. Unlike traditional models, Chat-TS integrates time-series tokens into LLMs' vocabulary, enhancing its reasoning ability over both modalities without compromising core natural language capabilities. To support learning and evaluation, we contribute new datasets: the TS Instruct Training Dataset (pairing diverse time-series data with relevant text instructions and responses for instruction tuning), the TS Instruct Question and Answer (QA) Gold Dataset (multiple-choice questions to evaluate multimodal reasoning), and a TS Instruct Quantitative Probing Set (a small subset of TS Instruct QA reasoning tasks alongside math and decision-making questions for LLM evaluation). We design a training strategy to preserve the inherent reasoning capabilities of LLMs while augmenting them for time-series reasoning. Experiments show that Chat-TS achieves state-of-the-art performance in multimodal reasoning tasks by maintaining strong natural language proficiency while improving time-series reasoning.</t>
  </si>
  <si>
    <t>Paul Quinlan; Qingguo Li; Xiaodan Zhu</t>
  </si>
  <si>
    <t>Paul Quinlan</t>
  </si>
  <si>
    <t>879-MAIN</t>
  </si>
  <si>
    <t>Language Family Matters: Evaluating SpeechLLMs Across Linguistic Boundaries</t>
  </si>
  <si>
    <t>Large Language Model (LLM)-powered Automatic Speech Recognition (ASR) systems achieve strong performance with limited resources by linking a frozen speech encoder to a pretrained LLM via a lightweight connector. Prior work trains a separate connector per language, overlooking linguistic relatedness. We propose a novel connector-sharing strategy based on linguistic family membership, enabling one connector per family, and empirically validate its effectiveness across two multilingual LLMs and two real-world corpora spanning curated and crowd-sourced speech. Our results show that family-based connectors reduce parameter count while improving generalization across domains, offering a practical and scalable strategy for multilingual ASR deployment.</t>
  </si>
  <si>
    <t>Yuchen Zhang; Ravi Shekhar; Haralambos Mouratidis</t>
  </si>
  <si>
    <t>Yuchen Zhang</t>
  </si>
  <si>
    <t>881-MAIN</t>
  </si>
  <si>
    <t>Beyond Names: How Grammatical Gender Markers Bias LLM-based Educational Recommendations</t>
  </si>
  <si>
    <t>This paper investigates gender biases exhibited by LLM-based virtual assistants when providing educational recommendations, focusing on minimal gender indicators. Experimenting on Italian, a language with grammatical gender, we demonstrate that simply changing noun and adjective endings (e.g., from masculine "-o" to feminine "-a") significantly shifts recommendations. More specifically, we find that LLMs i) recommend STEM disciplines less for prompts with feminine grammatical gender and ii) narrow down the set of disciplines recommended to prompts with masculine grammatical gender; these effects persist across multiple commercial LLMs (from OpenAI, Anthropic, and Google). We show that grammatical gender cues alone trigger substantial distributional shifts in educational recommendations, and up to 76% of the bias exhibited when using prompts with proper names is already present with grammatical gender markers alone.Our findings highlight the need for robust bias evaluation and mitigation strategies before deploying LLM-based virtual assistants in student-facing contexts and the risks of using general purpose LLMs for educational applications, especially in languages with grammatical gender.</t>
  </si>
  <si>
    <t>Luca Benedetto; Antonia Donvito; Alberto Lucchetti; Andrea Cappelli; Paula Buttery</t>
  </si>
  <si>
    <t>Luca Benedetto</t>
  </si>
  <si>
    <t>885-MAIN</t>
  </si>
  <si>
    <t>ExStrucTiny: A Benchmark for Schema-Variable Structured Information Extraction from Document Images</t>
  </si>
  <si>
    <t>Enterprise documents, such as forms and reports, embed critical information for downstream applications like data archiving, automated workflows, and analytics. Although generalist Vision Language Models (VLMs) perform well on established document understanding benchmarks, their ability to conduct holistic, fine-grained structured extraction across diverse document types and flexible schemas is not well studied. Existing Key Entity Extraction (KEE), Relation Extraction (RE), and Visual Question Answering (VQA) datasets are limited by narrow entity ontologies, simple queries, or homogeneous document types, often overlooking the need for adaptable and structured extraction. To address these gaps, we introduce ExStrucTiny, a new benchmark dataset for structured Information Extraction (IE) from document images, unifying aspects of KEE, RE, and VQA. Built through a novel pipeline combining manual and synthetic human-validated samples, ExStrucTiny covers more varied document types and extraction scenarios. We analyze open and closed VLMs on this benchmark, highlighting challenges such as schema adaptation, query under-specification, and answer localization. We hope our work provides a bedrock for improving generalist models for structured IE in documents.</t>
  </si>
  <si>
    <t>Mathieu Sibue; AndrГ©s MuГ±oz Garza; Samuel Mensah; Pranav Shetty; Zhiqiang Ma; Xiaomo Liu; Manuela Veloso</t>
  </si>
  <si>
    <t>Mathieu Sibue</t>
  </si>
  <si>
    <t>890-MAIN</t>
  </si>
  <si>
    <t>When Benchmarks Age: Temporal Misalignment through Large Language Model Factuality Evaluation</t>
  </si>
  <si>
    <t>The rapid evolution of large language models (LLMs) and the real world has outpaced the static nature of widely used evaluation benchmarks, raising concerns about their reliability for evaluating LLM factuality. While substantial works continue to rely on the popular but old benchmarks, their temporal misalignment with real-world facts and modern LLMs, and their effects on LLM factuality evaluation remain underexplored. Therefore, in this work, we present a systematic investigation of this issue by examining five popular factuality benchmarks and eight LLMs released across different years. An up-to-date fact retrieval pipeline and three metrics are tailored to quantify benchmark aging and its impact on LLM factuality evaluation. Experimental results and analysis illustrate that a considerable portion of samples in the widely used factuality benchmarks are outdated, leading to unreliable assessments of LLM factuality. We hope our work can provide a testbed to assess the reliability of a benchmark for LLM factuality evaluation and inspire more research on the benchmark aging issue.</t>
  </si>
  <si>
    <t>Xunyi Jiang; Dingyi Chang; Julian McAuley; Xin Xu</t>
  </si>
  <si>
    <t>Xin Xu</t>
  </si>
  <si>
    <t>896-MAIN</t>
  </si>
  <si>
    <t>On the Additive Compositionality of Task Vectors in VisionвЂ“Language Models</t>
  </si>
  <si>
    <t>In-context learning (ICL) in large language models (LLMs) has been shown to operate through task vectorsвЂ”the representation that summarizes the mapping induced by in-context demonstrations and can be composed by simple arithmetic operations. While this phenomenon is well studied in LLMs, its extension to vision-language models (VLMs) remains underexplored. In this work, we systematically examine the additive compositionality of in-context task vectors in VLMs, extracted from text-side hidden representations. Specifically, we construct compositional visual reasoning tasks with clearly defined subtasks and extract task vectors from few-shot demonstrations. Empirical experiments show that the vector for a complex task can be approximated by adding the vectors of its constituent subtasks. Beyond this, we analyze token-level contextual embeddings and show that additive composition arises because complex-task representations emerge as the superposition of atomic subtask components, preserving semantic structure within the modelвЂ™s activation space.</t>
  </si>
  <si>
    <t>Yuting SHI; Houjing WEI; Naoya Inoue</t>
  </si>
  <si>
    <t>Yuting Shi</t>
  </si>
  <si>
    <t>900-MAIN</t>
  </si>
  <si>
    <t>KidsArtBench: Multi-Dimensional ChildrenвЂ™s Art Evaluation with Attribute-Aware MLLMs</t>
  </si>
  <si>
    <t>Multimodal Large Language Models (MLLMs) show remarkable progress across many visualвЂ“language tasks; however, their capacity to evaluate artistic expression remains limited: aesthetic concepts are inherently abstract and open-ended, and multimodal artwork annotations are scarce. We introduce KidsArtBench, a new benchmark of over 1k children's artworks (ages 5-15) annotated by 12 expert educators across 9 rubric-aligned dimensions, together with expert comments for feedback. Unlike prior aesthetic datasets that provide single scalar scores on adult imagery, KidsArtBench targets children's artwork and pairs multi-dimensional annotations with comment supervision to enable both ordinal assessment and formative feedback. Building on this resource, we propose an attribute-specific multi-LoRA approach -- where each attribute corresponds to a distinct evaluation dimension (e.g., Realism, Imagination) in the scoring rubric -- with Regression-Aware Fine-Tuning (RAFT) to align predictions with ordinal scales. On Qwen2.5-VL-7B, our method increases correlation from 0.468 to 0.653, with the largest gains on perceptual dimensions and narrowed gaps on higher-order attributes. These results show that educator-aligned supervision and attribute-aware training yield pedagogically meaningful evaluations and establish a rigorous testbed for sustained progress in educational AI. We release data and code with ethics documentation.</t>
  </si>
  <si>
    <t>Mingrui Ye; Chanjin Zheng; Zengyi Yu; Chenyu Xiang; Zhixue Zhao; Zheng Yuan; Helen Yannakoudakis</t>
  </si>
  <si>
    <t>Mingrui Ye</t>
  </si>
  <si>
    <t>902-MAIN</t>
  </si>
  <si>
    <t>Steering Safely or Off a Cliff? Rethinking Specificity and Robustness in Inference-Time Interventions</t>
  </si>
  <si>
    <t>Model steering, which involves intervening on hidden representations at inference time, has emerged as a lightweight alternative to fine-tuning for precisely controlling large language models. While steering efficacy has been widely studied, evaluations of specificityвЂ”whether interventions alter only the intended propertyвЂ”remain limited, especially for potential degradation in behaviors related to the target one. We propose a framework that distinguishes three dimensions of specificity: general (preserving fluency and unrelated abilities), control (preserving related control properties), and robustness (preserving control properties under distribution shifts). We use overrefusal steering as a safety-critical case study and show that while steering consistently reduces overrefusal without harming general abilities and often preserves refusal on harmful queries, it fails on robustness: interventions substantially increase jailbreak vulnerability, even when safety is explicitly controlled. Our work provides the first systematic evaluation of specificity robustness in model steering, showing that standard efficacy and specificity checks are insufficient. Without robustness evaluation, steering methods that appear safe in-distribution may in fact compromise model safety.</t>
  </si>
  <si>
    <t>Navita Goyal; Hal DaumГ© III</t>
  </si>
  <si>
    <t>Navita Goyal</t>
  </si>
  <si>
    <t>904-MAIN</t>
  </si>
  <si>
    <t>Tracing Multilingual Knowledge Acquisition Dynamics in Domain Adaptation: A Case Study of English-Japanese Biomedical Adaptation</t>
  </si>
  <si>
    <t>Multilingual domain adaptation (ML-DA) is widely used to learn new domain knowledge across languages into large language models (LLMs). Although many methods have been proposed to improve domain adaptation, the mechanisms of multilingual knowledge acquisition, how domain knowledge is learned within a language and transferred across languages, remain underexplored. This gap leads to suboptimal performance, particularly in low-resource settings. This work examines the learning dynamics of LLMs during ML-DA. Because prior ML-DA studies often train and evaluate on datasets with mismatched knowledge coverage, we propose \textbf{AdaXEval}, an adaptive evaluation method that builds multiple-choice QA datasets from the same bilingual domain corpus used for training, thereby directly studying multilingual knowledge acquisition. Through continual training of LLMs with diverse data recipes, we track how LLMs acquire domain facts and pinpoint the mechanism behind the transformation process from domain training data to knowledge. Our experiments on a 13B English-Japanese bilingual LLM reveal that cross-lingual transfer remains challenging despite a high-quality bilingual corpus. The code has been released.</t>
  </si>
  <si>
    <t>Xin Zhao; Naoki Yoshinaga; Yuma Tsuta; Akiko Aizawa</t>
  </si>
  <si>
    <t>Xin Zhao</t>
  </si>
  <si>
    <t>908-MAIN</t>
  </si>
  <si>
    <t>Contextual morphologically-guided tokenization for Latin encoder models</t>
  </si>
  <si>
    <t>Tokenization is a critical component of language model pretraining, yet standard tokenization methods often prioritize information-theoretical goals like high compression and low fertility rather than linguistic goals like morphological alignment. In fact, they have been shown to be suboptimal for morphologically rich languages, where tokenization quality directly impacts downstream performance. In this work, we investigate morphologically-aware tokenization for Latin, a morphologically rich language that is medium-resource in terms of pretraining data, but high-resource in terms of curated lexical resources -- a distinction that is often overlooked but critical in discussions of low-resource language modeling. We find that morphologically-guided tokenization improves overall performance on four downstream tasks. Performance gains are most pronounced for out of domain texts, highlighting our models' improved generalization ability. Our findings demonstrate the utility of linguistic resources to improve language modeling for morphologically complex languages. For low-resource languages that lack large-scale pretraining data, the development and incorporation of linguistic resources can serve as a feasible alternative to improve LM performance.</t>
  </si>
  <si>
    <t>Marisa Hudspeth; Patrick J. Burns; Brendan O'Connor</t>
  </si>
  <si>
    <t>Marisa Hudspeth</t>
  </si>
  <si>
    <t>909-MAIN</t>
  </si>
  <si>
    <t>Beyond Random Sampling: Efficient Language Model Pretraining via Curriculum Learning</t>
  </si>
  <si>
    <t>Curriculum learningвЂ”organizing training data from easy to hardвЂ”has improved efficiency across machine learning domains, yet remains underexplored for language model pretraining. We present the first systematic investigation of curriculum learning in LLM pretraining, training over 200 models across three strategies: vanilla curriculum learning, pacing-based sampling, and interleaved curricula. Using six difficulty metrics spanning linguistic and information-theoretic properties, we evaluate performance on eight benchmarks under three realistic scenarios: limited data, unlimited data, and continual training. Our experiments show that curriculum learning consistently accelerates convergence in early and mid-training phases, reducing training steps by 18-45% to reach baseline performance. When applied as a warmup strategy before standard random sampling, curriculum learning yields sustained improvements up to 3.5%. We identify compression ratio, lexical diversity (MTLD), and readability (Flesch Reading Ease) as the most effective difficulty signals. Our findings demonstrate that data orderingвЂ”orthogonal to existing data selection methodsвЂ”provides a practical mechanism for more efficient LLM pretraining.</t>
  </si>
  <si>
    <t>Yang ZHANG; Amr Mohamed; Hadi Abdine; Guokan Shang; Michalis Vazirgiannis</t>
  </si>
  <si>
    <t>Yang ZHANG</t>
  </si>
  <si>
    <t>918-MAIN</t>
  </si>
  <si>
    <t>Funny or Persuasive, but Not Both: Evaluating Fine-Grained Multi-Concept Control in LLMs</t>
  </si>
  <si>
    <t>Large Language Models (LLMs) offer strong generative capabilities, but many applications require explicit and \textit{fine-grained} control over specific textual concepts, such as humor, persuasiveness, or formality. Prior approaches in prompting and representation engineering can provide coarse or single-attribute control, but systematic evaluation of multi-attribute settings remains limited. We introduce an evaluation framework for fine-grained controllability for both single- and dual-concept scenarios, focusing on concept pairs that are linguistically distinct (e.g., persuasiveness vs.~humor). Surprisingly, across multiple LLMs and generative tasks, we find that performance often drops in the dual-concept setting, even though the chosen concepts should in principle be separable. This reveals a fundamental limitation of naive prompting-based control: models struggle with compositionality even when concepts are intuitively independent. Our framework provides systematic evidence of this gap and offers a principled approach for measuring the ability of future methods for multi-concept control.</t>
  </si>
  <si>
    <t>Arya Labroo; Ivaxi Sheth; Vyas Raina; Amaani Ahmed; Mario Fritz</t>
  </si>
  <si>
    <t>Arya Labroo</t>
  </si>
  <si>
    <t>935-MAIN</t>
  </si>
  <si>
    <t>MERLIN: Multi-Stage Curriculum Alignment for Multilingual Encoder-LLM Integration in Cross-Lingual Reasoning</t>
  </si>
  <si>
    <t>Large language models (LLMs) excel in English but still struggle with complex reasoning in many low-resource languages (LRLs). Existing methods align LLMs with multilingual encoders, such as LangBridge and MindMerger, raising the accuracy for mid and high-resource languages, yet large performance gap remains for LRLs. We present MERLIN, a model-stacking framework that iteratively refines in 2-stages based on a curriculum strategy (from general to specific where general is bilingual bitext and specific is task-specific data) and adapts only a small set of DoRA weights. On the AfriMGSM benchmark MERLIN improves exact-match accuracy by +12.9 pp over MindMerger and outperforms GPT-4o-mini by 15.2 pp. It also yields consistent gains on MGSM and MSVAMP (+0.9 and +2.8 pp), demonstrating effectiveness across both low and high-resource settings.</t>
  </si>
  <si>
    <t>Kosei Uemura; David GuzmГЎn; Quang Phuoc Nguyen; Jesujoba Oluwadara Alabi; En-Shiun Annie Lee; David Ifeoluwa Adelani</t>
  </si>
  <si>
    <t>940-MAIN</t>
  </si>
  <si>
    <t>Mary, the Cheeseburger-Eating Vegetarian: Do LLMs Recognize Incoherence in Narratives?</t>
  </si>
  <si>
    <t>Leveraging a dataset of paired narratives, we investigate the extent to which large language models (LLMs) can reliably separate incoherent and coherent stories. A probing study finds that LLMs' internal representations can reliably identify incoherent narratives. However, LLMs generate responses to rating questions that fail to satisfactorily separate the coherent and incoherent narratives across several prompt variations, hinting at a gap in LLM's understanding of storytelling. The reasoning LLMs tested do not eliminate these deficits, indicating that thought strings may not be able to fully address the discrepancy between model internal state and behavior. Additionally, we find that LLMs appear to be more sensitive to incoherence resulting from an event that violates the setting (e.g., a rainy day in the desert) than to incoherence arising from a character violating an established trait (e.g., Mary, a vegetarian, later orders a cheeseburger), suggesting that LLMs may rely more on prototypical world knowledge than building meaning-based narrative coherence. The consistent asymmetry found in our results suggests that LLMs have an incomplete grasp of narrative coherence.</t>
  </si>
  <si>
    <t>Karin De Langis; PГјren Г–ncel; Ryan Peters; Andrew Elfenbein; Laura Kristen Allen; Andreas Schramm; Dongyeop Kang</t>
  </si>
  <si>
    <t>Karin de Langis</t>
  </si>
  <si>
    <t>941-MAIN</t>
  </si>
  <si>
    <t>Strong Memory, Weak Control: An Empirical Study of Executive Functioning in LLMs</t>
  </si>
  <si>
    <t>Working memory, or the ability to hold and manipulate information in the mind, is a critical component of human intelligence and executive functioning. It is correlated with performance on various cognitive tasks, including measures of fluid intelligence, which encompasses reasoning and problem solving. We use a comprehensive set of classic working memory tasks to estimate the working memory capacity of large language models (LLMs). We find that in most cases, LLMs exceed normative human scores. However, we do not find that the increased capacity of working memory is associated with higher performance on other executive functioning tasks or problem solving benchmarks. These results suggest that LLMs may have deficits in attentional control and cognitive flexibility, which result in difficulties with inhibiting automatic responses and adapting to shifting information. Our findings suggest that reasoning models, although they often do not currently fully compensate for these deficits, may have the potential to do so in the future.</t>
  </si>
  <si>
    <t>Karin De Langis; Jong Inn Park; Khanh Chi Le; Andreas Schramm; Andrew Elfenbein; Michael C. Mensink; Dongyeop Kang</t>
  </si>
  <si>
    <t>942-MAIN</t>
  </si>
  <si>
    <t>How Do Language Models Acquire Character-Level Information?</t>
  </si>
  <si>
    <t>Large language models (LLMs) have been reported to implicitly encode character-level information, despite not being explicitly provided during training. However, the mechanisms underlying this phenomenon remain largely unexplored. To reveal the mechanisms, we analyze how models acquire character-level knowledge by comparing LLMs trained under controlled settings, such as specifying the pre-training dataset or tokenizer, with those trained under standard settings. We categorize the contributing factors into those independent of tokenization. Our analysis reveals that merge rules and orthographic constraints constitute primary factors arising from tokenization, whereas semantic associations of substrings and syntactic information function as key factors independent of tokenization.</t>
  </si>
  <si>
    <t>Soma Sato; Ryohei Sasano</t>
  </si>
  <si>
    <t>Soma Sato</t>
  </si>
  <si>
    <t>943-MAIN</t>
  </si>
  <si>
    <t>Analysing the role of lexical and temporal information in turn-taking through predictability</t>
  </si>
  <si>
    <t>Turn-taking is a fundamental component of human communication and is signalled through complex cues distributed across lexical, temporal, and prosodic information. Full-duplex models of spoken dialogue integrate these information sources to produce impressive turn-taking behaviour; However, existing evaluations of their turn-taking capabilities do not address which information sources drive their predictions. We present a systematic analysis of the role of lexical-temporal features on the predictability of turn structure by examining PairwiseTurnGPT, a full-duplex model of spoken dialogue transcripts. Through PCA, mixed-effects modelling, and temporal surprisal analysis, we reveal context-dependent patterns: linguistic fluency paradoxically creates overconfidence at intermediate completion points, while turn-shift overlap dominates boundary detection. Our findings uncover where lexical-temporal information suffices and where additional cues become necessary, establishing a deeper understanding of how turn-taking cues are distributed and how to evaluate dialogue systems.</t>
  </si>
  <si>
    <t>Sean Leishman; Sarenne Wallbridge; Peter Bell</t>
  </si>
  <si>
    <t>Sean Leishman</t>
  </si>
  <si>
    <t>953-MAIN</t>
  </si>
  <si>
    <t>Detecting Hallucinations in Vision-Language Models without Generating a Single Token</t>
  </si>
  <si>
    <t>Hallucinations remain a persistent challenge for visionвЂ“language models (VLMs), which often describe nonexistent objects or fabricate facts. Existing detection methods typically operate after text generation, making intervention both costly and untimely. We investigate whether hallucination risk can instead be predicted before any token is generated by probing a modelвЂ™s internal representations in a single forward pass. Across a diverse set of visionвЂ“language tasks and eight modern VLMs including Llama-3.2, Gemma-3, Phi-4, and Qwen2.5-VL we examine three families of internal representations: (i) visual-only features without multimodal fusion, (ii) vision-token representations within the text decoder, and (iii) query-token representations that integrate visual and textual information before generation. Probes trained on these representations achieve strong hallucination-detection performance without decoding, reaching up to 0.93 AUROC on Gemma-3-12B, Phi-4-VL, and Molmo. Late query-token states are the most predictive for most models, while visual or mid-layer features dominate in a few architectures (e.g., ~0.79 for Qwen2.5-VL using visual-only features). These results demonstrate that (1) hallucination risk is detectable pre-generation, (2) the most informative layer and modality vary across architectures, and (3) lightweight probes can enable early abstention, selective routing, and adaptive decoding to improve both safety and efficiency.</t>
  </si>
  <si>
    <t>Sai Akhil Kogilathota; Sripadha Vallabha E G; Luzhe Sun; Jiawei Zhou</t>
  </si>
  <si>
    <t>Sai Akhil Kogilathota; Sripadha Vallabha E G</t>
  </si>
  <si>
    <t>954-MAIN</t>
  </si>
  <si>
    <t>Nanda Family: Open-Weights Generative Large Language Models for Hindi</t>
  </si>
  <si>
    <t>Large language models remain predominantly English-centric, which limits their usefulness for underrepresented languages. We help bridge this gap for Hindi with Nanda, a family of open-weights bilingual models (10B and 87B) adapted from Llama-3/3.1. Our approach integrates: (i) a tokenizer extending Llama's vocabulary with 20% Hindi-specific tokens, thus halving Hindi tokenization fertility while preserving English efficiency, (ii) Hindi-first parameter-efficient continuous pretraining using Llama Pro on a 65B-token corpus spanning Devanagari script, code-mixed, and romanized Hindi, and (iii) bilingual instruction and safety alignment on a large culturally grounded dataset. The resulting Nanda models outperform open-weights LLMs of comparable size in terms of generative performance and cultural knowledge, while being on par on MCQ benchmarks. Nanda-87B further demonstrates state-of-the-art performance on summarization, translation, transliteration, and instruction following. Moreover, both models show state-of-the-art performance in terms of safety. Our results demonstrate that careful tokenizer design, data curation, and expansion-based continual pretraining can yield capable and safe LLMs for resource-poor languages without compromising English performance.</t>
  </si>
  <si>
    <t>Aaryamonvikram Singh; Debopriyo Banerjee; Dhruv Sahnan; Monojit Choudhury; Shivam Chauhan; Rocktim Jyoti Das; Xudong Han; Haonan Li; Alok Anil Jadhav; Utkarsh Agarwal; Mukund Choudhary; Fajri Koto; Junaid Hamid Bhat; Awantika Shukla; Samujjwal Ghosh; Samta Kamboj; Onkar Pandit; Lalit Pradhan; Rahul Pal; Sunil Kumar Sahu; Parvez Mullah; Ali El Filali; Zainul Abedien Ahmed Quraishi; Neha Sengupta; Gokulakrishnan Ramakrishnan; Rituraj Joshi; Gurpreet Gosal; Avraham Sheinin; Natalia Vassilieva; Preslav Nakov</t>
  </si>
  <si>
    <t>Preslav Nakov; Aaryamonvikram Singh; Dhruv Sahnan; Ali El Filali;</t>
  </si>
  <si>
    <t>957-MAIN</t>
  </si>
  <si>
    <t>Wugnectives: Novel Entity Inferences of Language Models from Discourse Connectives</t>
  </si>
  <si>
    <t>The role of world knowledge has been particularly crucial to predict the discourse connective that marks the discourse relation between two arguments, with language models (LMs) being generally successful at this task. We flip this premise in our work, and instead study the inverse problem of understanding whether discourse connectives can inform LMs about the world. To this end, we present WUGNECTIVES, a dataset of 8,880 stimuli that evaluates LMs' inferences about *novel* entities in contexts where connectives link the entities to particular attributes. On investigating 17 different LMs at various scales, and training regimens, we found that tuning an LM to show reasoning behavior yields noteworthy improvements on most connectives. At the same time, there was a large variation in LMs' overall performance across connective type, with *all* models systematically struggling on connectives that express a concessive meaning. Our findings pave the way for more nuanced investigations into the functional role of language cues as captured by LMs.</t>
  </si>
  <si>
    <t>Daniel Brubaker; William Sheffield; Junyi Jessy Li; Kanishka Misra</t>
  </si>
  <si>
    <t>Daniel Brubaker</t>
  </si>
  <si>
    <t>961-MAIN</t>
  </si>
  <si>
    <t>Can LLMs reason over extended multilingual contexts? Towards long-context evaluation beyond retrieval over haystacks</t>
  </si>
  <si>
    <t>Existing multilingual long-context benchmarks, often based on the popular needle-in-a-haystack test, primarily evaluate a model's ability to locate specific information buried within irrelevant texts. However, such a retrieval-centric approach is myopic and inherently limited, as successful recall alone does not indicate a model's capacity to reason over extended contexts. Moreover, these benchmarks are susceptible to data leakage, short-circuiting, and risk making the evaluation a priori identifiable. To address these limitations, we introduce MLRBench, a new synthetic benchmark for multilingual long-context reasoning. Unlike existing benchmarks, MLRBench goes beyond surface-level retrieval by including tasks that assess multi-hop inference, aggregation, and epistemic reasoning. Spanning seven languages, MLRBench is designed to be parallel, resistant to leakage, and scalable to arbitrary context lengths. Our extensive experiments with an open-weight large language model (LLM) reveal a pronounced gap between high- and low-resource languages, particularly for tasks requiring the model to aggregate multiple facts or predict the absence of information. We also find that, in multilingual settings, LLMs effectively utilise less than 30% of their claimed context length. Although off-the-shelf Retrieval Augmented Generation helps alleviate this to a certain extent, it does not solve the long-context problem. We open-source MLRBench to enable future research in improved evaluation and training of multilingual LLMs.</t>
  </si>
  <si>
    <t>Amey Hengle; Prasoon Bajpai; Soham Dan; Tanmoy Chakraborty</t>
  </si>
  <si>
    <t>Amey Hengle</t>
  </si>
  <si>
    <t>966-MAIN</t>
  </si>
  <si>
    <t>Machine translation Evaluation Eng-Thai MQM Ranking dataset</t>
  </si>
  <si>
    <t>We introduce MEET-MR (Machine Translation EnglishвЂ“Thai MQM and Ranking Dataset), a comprehensive benchmark for evaluating EnglishвЂ“Thai machine translation systems. The dataset is constructed using the Multidimensional Quality Metrics (MQM) annotation framework, providing fine-grained human judgments of translation quality. In addition, MEET-MR includes human preference rankings and reference translations, enabling both absolute and relative assessments of translation quality. The dataset spans 9 diverse domains ensuring rich linguistic and contextual diversity. By combining high-quality reference translations, objective MQM error annotations, and subjective preference rankings, MEET-MR serves as a valuable resource for studying translation quality estimation, model alignment with human evaluation, and cross-domain performance in EnglishвЂ“Thai machine translation.</t>
  </si>
  <si>
    <t>Phichet Phuangrot; Natdanai Trintawat; Kanawat Vilasri; Yanapat Patcharawiwatpong; Pachara Boonsarngsuk; Nat Pavasant; Ekapol Chuangsuwanich</t>
  </si>
  <si>
    <t>Nat Pavasant</t>
  </si>
  <si>
    <t>969-MAIN</t>
  </si>
  <si>
    <t>Continual-learning for Modelling Low-Resource Languages from Large Language Models</t>
  </si>
  <si>
    <t>Modelling a language model for a multi-lingual scenario includes several potential challenges, among which catastrophic forgetting is the major challenge. For example, small language models (SLM) built for low-resource languages by adapting large language models (LLMs) pose the challenge of catastrophic forgetting. This work proposes to employ a continual learning strategy using parts-of-speech (POS)-based code-switching along with a replay adapter strategy to mitigate the identified gap of catastrophic forgetting while training SLM from LLM. Experiments conducted on vision language tasks such as visual question answering and language modelling task exhibits the success of the proposed architecture.</t>
  </si>
  <si>
    <t>Santosh Srinath K; Mudit Somani; Varun Reddy Padala; Prajna Upadhyay; Abhijit Das</t>
  </si>
  <si>
    <t>Santosh Srinath Kaza</t>
  </si>
  <si>
    <t>980-MAIN</t>
  </si>
  <si>
    <t>Language-Grounded Multi-Domain Image Translation via Semantic Difference Guidance</t>
  </si>
  <si>
    <t>Multi-domain image-to-image translation requires grounding semantic differences expressed in natural language prompts into corresponding visual transformations, while preserving unrelated structural and semantic content. Existing methods struggle to maintain structural integrity and provide fine-grained, attribute-specific control, especially when multiple domains are involved. We propose LACE (Language-grounded Attribute-Controllable Translation), built on two components: (1) a GLIP-Adapter that fuses global semantics with local structural features to preserve consistency, and (2) a Multi-Domain Control Guidance mechanism that explicitly grounds the semantic delta between source and target prompts into per-attribute translation vectors, aligning linguistic semantics with domain-level visual changes. Together, these modules enable compositional multi-domain control with independent strength modulation for each attribute. Experiments on CelebA(Dialog) and BDD100K demonstrate that LACE achieves high visual fidelity, structural preservation, and interpretable domain-specific control, surpassing prior baselines. This positions LACE as a cross-modal content generation framework bridging language semantics and controllable visual translation. Code will be publicly available.</t>
  </si>
  <si>
    <t>jongwon ryu; Joonhyung Park; Jaeho Han; Yeong-Seok Kim; Hye-Rin Kim; Sunjae Yoon; Junyeong Kim</t>
  </si>
  <si>
    <t>Jongwon Ryu</t>
  </si>
  <si>
    <t>981-MAIN</t>
  </si>
  <si>
    <t>Evaluation of Deontic Conditional Reasoning in Large Language Models: The Case of Wason's Selection Task</t>
  </si>
  <si>
    <t>As large language models (LLMs) advance in linguistic competence, growing attention has turned to their reasoning abilities. Humans excel at domain-specific reasoning, particularly in normative rather than purely formal contexts. While previous studies have compared LLM and human reasoning, the domain specificity of LLMs remains underexplored. This study examines LLMs' conditional reasoning with deontic rules using the Wason Selection Task, a classic paradigm in cognitive science. Building on findings that human errors in this task reflect a matching bias, namely a tendency to select cards matching the lexical content of the rule, we test whether similar biases appear in LLMs using a dataset of conditional rules with negation. Results show that, like humans, LLMs reason more effectively with deontic rules and display matching bias in their error patterns. These findings indicate that LLMs exhibit domain-specific reasoning and matching bias with respect to deontic rules, providing insights into how their reasoning relates to human cognition.</t>
  </si>
  <si>
    <t>Hirohiko Abe; Kentaro Ozeki; Risako Ando; Takanobu Morishita; Koji Mineshima; Mitsuhiro Okada</t>
  </si>
  <si>
    <t>Hirohiko Abe</t>
  </si>
  <si>
    <t>986-MAIN</t>
  </si>
  <si>
    <t>LLMs as Cultural Archives: Cultural Commonsense Knowledge Graph Extraction</t>
  </si>
  <si>
    <t>Large language models (LLMs) encode rich cultural knowledge learned from diverse web-scale data, offering an unprecedented opportunity to model cultural commonsense at scale. Yet this knowledge remains mostly implicit and unstructured, limiting its interpretability and use. We present an iterative, prompt-based framework for constructing a Cultural Commonsense Knowledge Graph (CCKG) that treats LLMs as cultural archives, systematically eliciting culture-specific entities, relations, and practices and composing them into multi-step inferential chains across languages. We evaluate CCKG on five countries with human judgments of cultural relevance, correctness, and path coherence. We find that the cultural knowledge graphs are better realized in English, even when the target culture is non-English (e.g., Chinese, Indonesian, Arabic), indicating uneven cultural encoding in current LLMs. Augmenting smaller LLMs with CCKG improves performance on cultural reasoning and story generation, with the largest gains from English chains. Our results show both the promise and limits of LLMs as cultural technologies and that chain-structured cultural knowledge is a practical substrate for culturally grounded NLP.</t>
  </si>
  <si>
    <t>Junior Cedric Tonga; Chen Cecilia Liu; Iryna Gurevych; Fajri Koto</t>
  </si>
  <si>
    <t>Junior Cedric TONGA</t>
  </si>
  <si>
    <t>992-MAIN</t>
  </si>
  <si>
    <t>Nahw: A Comprehensive Benchmark of Arabic Grammar Understanding, Error Detection, Correction, and Explanation</t>
  </si>
  <si>
    <t>Grammar comprehension is a critical capability for large language models (LLMs) to achieve fluency in a target language. In low-resource settings, such as Arabic, limited availability of high-quality data can lead to significant gaps in grammatical understanding, making systematic evaluation essential. We introduce Nahw, a comprehensive benchmark for Arabic grammar that covers both theoretical knowledge and practical applications, including grammatical error detection, correction, and explanation. We evaluate a range of LLMs on these tasks and find that many models still exhibit substantial deficiencies in Arabic grammar comprehension with GPT-4o achieving a score of 67%, ALLaM-7B achieving 42%, and Fanar-1-9B achieving 35% on average over all tasks. Our experiments also demonstrate that while fine-tuning with synthetic data can improve performance, it does not match the effectiveness of training on natural, high-quality data.</t>
  </si>
  <si>
    <t>Hamdy Mubarak; Majd Hawasly; Abubakr Mohamed</t>
  </si>
  <si>
    <t>Hamdy Mubarak</t>
  </si>
  <si>
    <t>994-MAIN</t>
  </si>
  <si>
    <t>Confidence Leaps in LLM Reasoning: Early Stopping and Cross-Model Transfer</t>
  </si>
  <si>
    <t>We challenge the common assumption that Large Language Models (LLMs) build confidence gradually during reasoning. Instead, we find that conviction is often reached in a discrete ``moment of insight'', characterized by a sudden and sharp increase in an answer's probability---a phenomenon we term a "confidence leap". Leveraging this discovery, we introduce a training-free, model-agnostic early-stopping heuristic that halts generation upon detecting such a leap, significantly reducing the generation length without sacrificing accuracy. We also demonstrate that the reasoning text leading up to this leap is semantically potent and transferable: feeding this partial reasoning to a different model family substantially boosts its performance. This suggests that the "confidence leap" marks a shared, interpretable reasoning milestone, not just a model-specific statistical artifact.</t>
  </si>
  <si>
    <t>Pavel Tikhonov; Ivan Oseledets; Elena Tutubalina</t>
  </si>
  <si>
    <t>Pavel Tikhonov</t>
  </si>
  <si>
    <t>996-MAIN</t>
  </si>
  <si>
    <t>Rethinking Creativity Evaluation: A Critical Analysis of Existing Creativity Evaluations</t>
  </si>
  <si>
    <t>We systematically examine, analyze, and compare representative creativity measuresвЂ”creativity index, perplexity, syntactic templates, and LLM-as-a-JudgeвЂ”across diverse creative domains, including creative writing, unconventional problem-solving, and research ideation. Our analyses reveal that these metrics exhibit limited consistency, capturing different dimensions of creativity. We highlight key limitations, including the creativity index's focus on lexical diversity, perplexity's sensitivity to model confidence, and the inability of syntactic templates to capture conceptual creativity. Additionally, LLM-as-a-Judge shows instability and bias. Our findings underscore the need for more robust, generalizable evaluation frameworks that better align with human judgments of creativity.</t>
  </si>
  <si>
    <t>Li-Chun Lu; Miri Liu; Pin Chun Lu; Yufei Tian; Shao-Hua Sun; Nanyun Peng</t>
  </si>
  <si>
    <t>Li-Chun Lu</t>
  </si>
  <si>
    <t>1007-MAIN</t>
  </si>
  <si>
    <t>TReX: Tokenizer Regression for Optimal Data Mixture</t>
  </si>
  <si>
    <t>Building effective tokenizers for multilingual Large Language Models (LLMs) requires careful control over language-specific data mixtures. While a tokenizerвЂ™s compression performance critically affects the efficiency of LLM training and inference, existing approaches rely on heuristics or costly large-scale searches to determine optimal language ratios. We introduce $\textbf{T}$okenizer $\textbf{Re}$gression for Optimal Data Mi$\textbf{X}$ture ($\text{TReX}$), a regression-based framework that efficiently predicts the optimal data mixture for tokenizer training. $\text{TReX}$ trains small-scale proxy tokenizers on random mixtures, gathers their compression statistics, and learns to predict compression performance from data mixtures. This learned model enables scalable mixture search before large-scale tokenizer training, mitigating the accuracy-cost trade-off in multilingual tokenizer design. Tokenizers trained with TReXвЂ™s predicted mixtures outperform mixtures based on LLaMA3 and uniform distributions by up to 12% in both in- and out-of-distribution compression efficiency, demonstrating strong scalability, robustness, and practical effectiveness.</t>
  </si>
  <si>
    <t>Inho Won; HanGyeol Yoo; Minkyung Cho; Jungyeul Park; Hoyun Song; KyungTae Lim</t>
  </si>
  <si>
    <t>Inho Won, Hangyeol Yoo</t>
  </si>
  <si>
    <t>1016-MAIN</t>
  </si>
  <si>
    <t>Speculative Decoding Speed-of-Light: Optimal Lower Bounds via Branching Random Walks</t>
  </si>
  <si>
    <t>Speculative generation has emerged as a promising technique to accelerate inference in large language models (LLMs) by leveraging parallelism to verify multiple draft tokens simultaneously. However, the fundamental limits on the achievable speedup remain poorly understood. In this work, we establish the first ``tight'' lower bounds on the runtime of any deterministic speculative generation algorithm. This is achieved by drawing a parallel between the token generation process and branching random walks, which allows us to analyze the optimal draft tree selection problem. We prove, under basic assumptions, that the expected number of tokens successfully predicted per speculative iteration is bounded as $\mathbb{E}[X] \leq (\mu + \mu_{(2)})\log(B )/\mu^2 + O(1)$, where $B$ is the verifier's batch size, $\mu$ is the expected entropy of the verifier's output distribution, and $\mu_{(2)}$ is this entropy's second moment. This result provides new insights into the limits of parallel token generation, and could guide the design of future speculative decoding systems. Empirical evaluations on Llama models validate our theoretical predictions, confirming the tightness of our bounds in practical settings.</t>
  </si>
  <si>
    <t>Sergey Pankratov; Dan Alistarh</t>
  </si>
  <si>
    <t>Sergey Pankratov</t>
  </si>
  <si>
    <t>1019-MAIN</t>
  </si>
  <si>
    <t>KG-CRAFT: Knowledge Graph-based Contrastive Reasoning with LLMs for Enhancing Automated Fact-checking</t>
  </si>
  <si>
    <t>Claim verification is a core module in automated fact-checking systems, tasked with determining claim veracity using retrieved evidence. This work presents KG-CRAFT, a novel knowledge graph-based contrastive reasoning method that enhances automatic claim verification by LLMs. Our approach first constructs a knowledge graph from claims and associated reports, then formulates contextually relevant contrastive questions based on the knowledge graph structure. These questions guide the distillation of evidence-based reports, which are synthesised into a concise summary for veracity assessment. Extensive evaluations on two real-world datasets (LIAR-RAW and RAWFC) demonstrate that our method achieves a new state-of-the-art in predictive performance. Comprehensive analyses validate in detail the effectiveness of our knowledge graph-based contrastive reasoning approach in improving LLMs' fact-checking capabilities.</t>
  </si>
  <si>
    <t>VГ­tor LourenГ§o; Aline Paes; Tillman Weyde; Audrey Depeige; Mohnish Dubey</t>
  </si>
  <si>
    <t>Vítor Nascimento Lourenço</t>
  </si>
  <si>
    <t>1026-MAIN</t>
  </si>
  <si>
    <t>Unintended Token-Level Memorization in Language Model Fine-Tuning</t>
  </si>
  <si>
    <t>Fine-tuning Large Language Models (LLMs) on sensitive datasets carries a substantial risk of unintended memorization and leakage of Personally Identifiable Information (PII), which can violate privacy regulations and compromise individual safety. In this work, we systematically investigate a critical and underexplored vulnerability: the exposure of PII that appears only in model inputs, not in training targets. Using both synthetic and real-world datasets, we design controlled extraction probes to quantify unintended PII memorization and study how factors such as language, PII frequency, task type, and model size influence memorization behavior. We further benchmark four privacy-preserving approaches including differential privacy, machine unlearning, regularization, and preference alignment, evaluating their trade-offs between privacy and task performance. Our results show that post-training methods generally provide more consistent privacyвЂ“utility trade-offs, while differential privacy achieves the strongest reduction in leakage in specific settings, although it can introduce training instability. These findings highlight the persistent challenge of memorization in fine-tuned LLMs and emphasize the need for robust, scalable privacy-preserving techniques.</t>
  </si>
  <si>
    <t>Marton Szep; Jorge Marin Ruiz; Georgios Kaissis; Paulina Seidl; RГјdiger von Eisenhart-Rothe; Florian Hinterwimmer; Daniel Rueckert</t>
  </si>
  <si>
    <t>Marton Szep</t>
  </si>
  <si>
    <t>1029-MAIN</t>
  </si>
  <si>
    <t>Exploring Fine-Tuning for In-Context Retrieval and Efficient KV-Caching in Long-Context Language Models</t>
  </si>
  <si>
    <t>With context windows of millions of tokens, Long-Context Language Models (LCLMs) can encode entire document collections, offering a strong alternative to conventional retrieval-augmented generation (RAG). However, it remains unclear whether fine-tuning strategies can improve long-context performance and translate to greater robustness under KV-cache compression techniques. In this work, we investigate which training strategies most effectively enhance LCLMs' ability to identify and use relevant information, as well as enhancing their robustness under KV-cache compression. Our experiments show substantial in-domain improvements: achieving up to +20-point gains over the base model. However, out-of-domain generalization remains task dependent with large variance -- LCLMs excels on finance questions (+9 points), while RAG shows stronger performance on multiple-choice questions (+6 points) over the baseline models. Finally, we show that our fine-tuning approaches bring moderate improvements in robustness under KV-cache compression, with gains varying across tasks.</t>
  </si>
  <si>
    <t>Francesco Maria Molfese; Momchil Hardalov; Rexhina Blloshmi; Bill Byrne; AdriГ de Gispert</t>
  </si>
  <si>
    <t>Momchil Hardalov</t>
  </si>
  <si>
    <t>1046-MAIN</t>
  </si>
  <si>
    <t>The Pluralistic Moral Gap: Understanding Moral Judgment and Value Differences between Humans and Large Language Models</t>
  </si>
  <si>
    <t>People increasingly rely on Large Language Models (LLMs) for moral advice, which may influence humans' decisions. Yet, little is known about how closely LLMs align with human moral judgments. To address this, we introduce the Moral Dilemma Dataset, a benchmark of 1,618 real-world moral dilemmas paired with a distribution of human moral judgments consisting of a binary evaluation and a free-text rationale. We treat this problem as a pluralistic distributional alignment task, comparing the distributions of LLM and human judgments across dilemmas. We find that models reproduce human judgments only under high consensus; alignment deteriorates sharply when human disagreement increases. In parallel, using a 60-value taxonomy built from 3,783 value expressions extracted from rationales, we show that LLMs rely on a narrower set of moral values than humans. These findings reveal a pluralistic moral gap--a mismatch in both the distribution and diversity of values expressed. To close this gap, we introduce Dynamic Moral Profiling (DMP), a Dirichlet-based sampling method that conditions model outputs on human-derived value profiles. DMP improves alignment by 64.3% and enhances value diversity, offering a step toward more pluralistic and human-aligned moral guidance.</t>
  </si>
  <si>
    <t>Giuseppe Russo; Debora Nozza; Paul RГ¶ttger; Dirk Hovy</t>
  </si>
  <si>
    <t>Giuseppe Russo</t>
  </si>
  <si>
    <t>1050-MAIN</t>
  </si>
  <si>
    <t>CoReTab: Improving Multimodal Table Understanding with Code-driven Reasoning</t>
  </si>
  <si>
    <t>Existing datasets for multimodal table understanding, such as MMTab, primarily provide short factual answers without explicit multi-step reasoning supervision. Models trained on these datasets often generate brief responses that offers insufficient accuracy and limited interpretability into how these models arrive at the final answer. We introduce CoReTab, a code-driven reasoning framework that produces scalable, interpretable, and automatically verifiable annotations by coupling natural-language explanations with executable Python code. Using the CoReTab framework, we curate a dataset of 115K verified samples averaging 529 tokens per response and fine-tune open-source MLLMs through a three-stage pipeline. We evaluate the resulting model trained on CoReTab across 17 MMTab benchmarks spanning table question answering, fact verification, and table structure understanding. Our model achieves significant gains of +6.5%, +6%, and +25.6%, respectively, over MMTab-trained baselines, while producing transparent and verifiable reasoning traces. These results establish CoReTab as a robust and generalizable supervision framework for improving multi-step reasoning in multimodal table understanding.</t>
  </si>
  <si>
    <t>Van-Quang Nguyen; Takayuki Okatani</t>
  </si>
  <si>
    <t>Van-Quang Nguyen</t>
  </si>
  <si>
    <t>1051-MAIN</t>
  </si>
  <si>
    <t>Explaining Generalization of AI-Generated Text Detectors Through Linguistic Analysis</t>
  </si>
  <si>
    <t>AI-text detectors achieve high accuracy on in-domain benchmarks, but often struggle to generalize across different generation conditions such as unseen prompts, model families, or domains. While prior work has reported these generalization gaps, there are limited insights about the underlying causes. In this work, we present a systematic study aimed at explaining generalization behavior through linguistic analysis. We construct a comprehensive benchmark that spans 6 prompting strategies, 7 large language models (LLMs), and 4 domain datasets, resulting in a diverse set of human- and AI-generated texts. Using this dataset, we fine-tune classification-based detectors on various generation settings and evaluate their cross-prompt, cross-model, and cross-dataset generalization. To explain the performance variance, we compute correlations between generalization accuracies and feature shifts of 80 linguistic features between training and test conditions. Our analysis reveals that generalization performance for specific detectors and evaluation conditions is significantly associated with linguistic features such as tense usage and pronoun frequency.</t>
  </si>
  <si>
    <t>Yuxi Xia; Kinga StaЕ„czak; Benjamin Roth</t>
  </si>
  <si>
    <t>Yuxi Xia</t>
  </si>
  <si>
    <t>1052-MAIN</t>
  </si>
  <si>
    <t>Elections go bananas: a first large-scale multilingual study of pluralia tantum using LLMs</t>
  </si>
  <si>
    <t>In this paper, we are interested in the expansion of pluralia tantum, i.e., defective nouns which lack a singular form, like scissors. We base our work on a qualitatively developed annotation framework. On a corresponding hand-annotated testset, we show that the OpenAI and DeepSeek models are all well equipped to annotate semantic, syntactic and sense categories, ranging from 51вЂ“89% in accuracy. Next, we turn to a large-scale investigation of pluralia tantum. Using dictionaries, we extract candidate words for Italian, Russian and English and keep those for which the changing ratio of singular and plural form is evident in a corresponding reference corpus. We use an LLM to annotate each instance from the reference corpus according to the annotation framework. We show that the large amount of automatically annotated sentences can be used to perform in-depth linguistic analysis, both to study the change in meaning of nouns, but also to update dictionary classifications using modern reference corpora.</t>
  </si>
  <si>
    <t>Elena Spaziani; Kamyar Zeinalipour; Pierluigi Cassotti; Nina Tahmasebi</t>
  </si>
  <si>
    <t>Elena Spaziani</t>
  </si>
  <si>
    <t>1053-MAIN</t>
  </si>
  <si>
    <t>Post-ASR Correction in Hindi: Comparing Language Models and Large Language Models in Low-Resource Scenarios</t>
  </si>
  <si>
    <t>Automatic Speech Recognition (ASR) systems for low-resource languages like Hindi often produce erroneous transcripts due to limited annotated data and linguistic complexity. **Post-ASR correction** using language models (LMs) and large language models (LLMs) offers a promising approach to improve transcription quality. In this work, we compare fine-tuned LMs (mT5, ByT5), fine-tuned LLMs (Nanda 10B), and instruction-tuned LLMs (GPT-4o-mini, LLaMA variants) for post-ASR correction in Hindi. Our findings reveal that **smaller, fine-tuned models** consistently **outperform larger LLMs** in both fine-tuning and in-context learning (ICL) settings. We observe a **U-shaped inverse scaling** trend under zero-shot ICL, where mid-sized LLMs degrade performance before marginal recovery at extreme scales, yet still fall short of fine-tuned models. **ByT5 is more effective for character-level corrections** such as transliteration and word segmentation, while **mT5 handles broader semantic inconsistencies**. We also identify performance drops in out-of-domain settings and propose **mitigation strategies** to preserve domain fidelity. In particular, we observe similar trends in **Marathi and Telugu**, indicating the broader applicability of our findings across low-resource Indian languages.</t>
  </si>
  <si>
    <t>Rishabh Kumar; Amrith Krishna; Ganesh Ramakrishnan; Preethi Jyothi</t>
  </si>
  <si>
    <t>Rishabh Kumar</t>
  </si>
  <si>
    <t>1059-MAIN</t>
  </si>
  <si>
    <t>CacheNotes: Task-Aware Key-Value Cache Compression for Reasoning-Intensive Knowledge Tasks</t>
  </si>
  <si>
    <t>Integrating external knowledge into Large Language Models (LLMs) is crucial for many real-world applications, yet current methods like Retrieval-Augmented Generation (RAG) face limitations with broad, multi-source queries, while long-context models are computationally prohibitive. We introduce CacheNotes: Task-Aware Key-Value Cache Compression. Given a task description and a corpus, CacheNotes first generates a sequence of Compression-Planning-Tokens (CPTs), an offline task-focused distillation pass that identifies and organizes key information from the corpus. These CPTs are then used to guide a one-time compression of the corpus into a compact, reusable KV cache, which is then used alone at inference time to efficiently answer diverse, reasoning-intensive queries, eliminating repeated retrieval or context expansion. Experiments on LongBench show that CacheNotes outperforms RAG by over 8 F1 points on Question-Answering tasks at a 0.95 compression and reduces latency by over 4x. On RULER, it surpasses previous query-agnostic compression methods by 55 points, narrowing the gap to query-aware compression approaches. Additional results on real-world enterprise and synthetic datasets demonstrate its strong performance on multi-hop and broad-coverage queries.</t>
  </si>
  <si>
    <t>Giulio Corallo; Orion Weller; Fabio Petroni; Paolo Papotti</t>
  </si>
  <si>
    <t>Giulio Corallo</t>
  </si>
  <si>
    <t>1078-MAIN</t>
  </si>
  <si>
    <t>How Do LLMs Generate Contrastive Sentiments? A Mechanistic Perspective</t>
  </si>
  <si>
    <t>This paper presents a mechanistic investigation into the ability of large language models (LLMs) to generate contrastive sentiments. We define this task as transforming the sentiment of a given text (e.g., positive to negative) with minimal changes. We identify two core mechanisms: (1) a preservation mechanism that preserves the input sentiment, primarily mediated by specific attention heads, and (2) a sentiment transformation mechanism, which integrates a representation of the target sentiment label with the original valenced words using a circuit containing both MLP and attention layers. Building on these findings, we propose and validate a novel mechanistic intervention. By modifying key attention heads, we successfully steer the LLM toward more effective contrastive generation, significantly increasing the sentiment flip rate without sacrificing distance preservation. Our work not only deepens the understanding of how LLMs perform this task but also introduces a promising new direction for steering LLM behavior through targeted, mechanistic interventions.</t>
  </si>
  <si>
    <t>Van Bach Nguyen; Christin Seifert; JГ¶rg SchlГ¶tterer</t>
  </si>
  <si>
    <t>Van Bach Nguyen</t>
  </si>
  <si>
    <t>1083-MAIN</t>
  </si>
  <si>
    <t>Continual Neural Topic Model</t>
  </si>
  <si>
    <t>In continual learning, our aim is to learn a new task without forgetting what was learned previously. In topic models, this translates to learning new topic models without forgetting previously learned topics. Previous work either considered Dynamic Topic Models (DTMs), which learn the evolution of topics based on the entire training corpus at once, or Online Topic Models, which are updated continuously based on new data but do not have long-term memory. To fill this gap, we propose the Continual Neural Topic Model (CoNTM), which continuously learns topic models at subsequent time steps without forgetting what was previously learned. This is achieved using a global prior distribution that is continuously updated. In our experiments, CoNTM consistently outperformed the dynamic topic model in terms of topic quality and predictive perplexity while being able to capture topic changes online. The analysis reveals that CoNTM can learn more diverse topics and better capture temporal changes than existing methods.</t>
  </si>
  <si>
    <t>Charu Karakkaparambil James; Waleed Mustafa; Marcio Monteiro; Marius Kloft; Sophie Fellenz</t>
  </si>
  <si>
    <t>Charu Karakkaparambil James</t>
  </si>
  <si>
    <t>1091-MAIN</t>
  </si>
  <si>
    <t>Principled Self-Correction in Discrete Diffusion: A UCB-Guided Framework for Text Generation</t>
  </si>
  <si>
    <t>Inspired by their success in image synthesis, diffusion models offer a flexible, iterative alternative to rigid left-to-right text generation. However, a fundamental training-inference discrepancy hinders their performance: models train on random noise but must correct their own structured, semantic errors during inference. To bridge this gap, we propose a unified framework. First, Deeper Self-Prediction (DSP) is a multi-step training objective to that teaches robust self-correction by forcing the model to denoise its own intermediate outputs. Second, UCB-guided Decoding is a principled inference algorithm that frames token re-masking as a multi-armed bandit problem, using the Upper Confidence Bound (UCB) to balance exploration and exploitation. Experiments on text generation tasks demonstrate consistent improvements over existing diffusion baselines. The framework achieves higher faithfulness and coherence according to both automatic metrics and LLM-as-a-Judge evaluations.</t>
  </si>
  <si>
    <t>Masaki Asada; Makoto Miwa</t>
  </si>
  <si>
    <t>Masaki Asada</t>
  </si>
  <si>
    <t>1092-MAIN</t>
  </si>
  <si>
    <t>ConLID: Supervised Contrastive Learning for Low-Resource Language Identification</t>
  </si>
  <si>
    <t>Language identification (LID) is a critical step in curating multilingual LLM pretraining corpora from web crawls. While many studies on LID model training focus on collecting diverse training data to improve performance, low-resource languages -- often limited to single-domain data, such as the Bible -- continue to perform poorly. To resolve these class imbalance and bias issues, we propose a novel supervised contrastive learning (SCL) approach to learn domain-invariant representations for low-resource languages. We show that our approach improves LID performance on out-of-domain data for low-resource languages by 3.2 percentage points, while maintaining its performance for the high-resource languages.</t>
  </si>
  <si>
    <t>Negar Foroutan; Jakhongir Saydaliev; Grace Kim; Antoine Bosselut</t>
  </si>
  <si>
    <t>Jakhongir Saydaliev, Negar Foroutan</t>
  </si>
  <si>
    <t>1096-MAIN</t>
  </si>
  <si>
    <t>CHiRPE: A Step Towards Real-World Clinical NLP with Clinician-Oriented Model Explanations</t>
  </si>
  <si>
    <t>The medical adoption of NLP tools requires interpretability by end users, yet traditional XAI methods are misaligned with clinical reasoning and lack clinician input. We introduce CHiRPE (Clinical High-Risk Prediction with Explainability), an NLP pipeline that takes transcribed semi-structured clinical interviews to (i) predict psychosis risk and (ii) generate novel SHAP explanation formats co-developed with clinicians. Trained on 944 semi-structured interview transcripts across 24 international clinics of AMP-SCZ study, the CHiRPE pipeline integrates symptom-domain mapping, LLM summarisation and BERT classification, achieving above 90% accuracies across all three BERT variants, outperforming baseline models. Evaluation of explanation formats by twenty-eight clinical experts demonstrated strong preference for our novel concept-guided explanations, especially hybrid graph and text summary formats, over standard SHAP word-level bar plots and heat map visualisations. CHiRPE demonstrates that clinically-guided model development produces both accurate and interpretable results. Our next step is focused on real-world testing across our 24 international sites.</t>
  </si>
  <si>
    <t>Stephanie Fong; Guilherme C Oliveira; Xiangyu Zhao; Yiwen Jiang; Zimu Wang; Jiahe Liu; Beau-Luke Colton; Scott W. Woods; Martha Shenton; Barnaby Nelson; Zongyuan Ge; Dominic Dwyer</t>
  </si>
  <si>
    <t>Stephanie Fong</t>
  </si>
  <si>
    <t>1098-MAIN</t>
  </si>
  <si>
    <t>Emotionally Charged, Logically Blurred: AI-driven Emotional Framing Impairs Human Fallacy Detection</t>
  </si>
  <si>
    <t>Logical fallacies are common in public communication and can mislead audiences; fallacious arguments may still appear convincing despite lacking soundness, because convincingness is inherently subjective. We present the first computational study of how emotional framing interacts with fallacies and convincingness, using large language models (LLMs) to systematically change emotional appeals in fallacious arguments. We benchmark eight LLMs on injecting emotional appeal into fallacious arguments while preserving their logical structures, then use the best models to generate stimuli for a human study. Our results show that LLM-driven emotional framing reduces human fallacy detection in F1 by 14.5% on average. Humans perform better in fallacy detection when perceiving enjoyment than fear or sadness, and these three emotions also correlate with significantly higher convincingness compared to neutral or other emotion states. Our work has implications for AI-driven emotional manipulation in the context of fallacious argumentation.</t>
  </si>
  <si>
    <t>Yanran Chen; Lynn Greschner; Roman Klinger; Michael Klenk; Steffen Eger</t>
  </si>
  <si>
    <t>Yanran Chen</t>
  </si>
  <si>
    <t>1099-MAIN</t>
  </si>
  <si>
    <t>Aligning Text, Code, and Vision: A Multi-Objective Reinforcement Learning Framework for Text-to-Visualization</t>
  </si>
  <si>
    <t>Text-to-Visualization (Text2Vis) systems translate natural language queries over tabular data into concise answers and executable visualizations. While closed-source LLMs generate functional code, the resulting charts often lack semantic alignment and clarityвЂ”qualities that can only be assessed post-execution. Open-source models struggle even more, frequently producing non-executable or visually poor outputs. Although supervised fine-tuning can improve code executability, it fails to enhance overall visualization quality, as traditional SFT loss cannot capture post-execution feedback. To address this gap, we propose RL-Text2Vis, the first reinforcement learning framework for Text2Vis generation. Built on Group Relative Policy Optimization (GRPO), our method uses a novel multi-objective reward that jointly optimizes textual accuracy, code validity, and visualization quality using post-execution feedback. By training Qwen2.5 models (7B and 14B), RL-Text2Vis achieves a 22% relative improvement in chart quality over GPT-4o on the Text2Vis benchmark and boosts code execution success from 78% to 97% relative to its zeroвЂ‘shot baseline. Our models significantly outperform strong zero-shot and supervised baselines and also demonstrate robust generalization to out-of-domain datasets like VIS-Eval and NVBench. These results establish GRPO as an effective strategy for structured, multimodal reasoning in visualization generation. We release our code at &lt;redacted&gt;.</t>
  </si>
  <si>
    <t>Mizanur Rahman; Mohammed Saidul Islam; Md Tahmid Rahman Laskar; Shafiq Joty; Enamul Hoque</t>
  </si>
  <si>
    <t>Mizanur Rahman</t>
  </si>
  <si>
    <t>1100-MAIN</t>
  </si>
  <si>
    <t>Offline Preference Optimization via Maximum Marginal Likelihood Estimation</t>
  </si>
  <si>
    <t>Aligning Large Language Models (LLMs) with human preferences is crucial, but standard methods like Reinforcement Learning from Human Feedback (RLHF) are often complex and unstable. In this work, we propose a new, simpler approach that recasts alignment through the lens of Maximum Marginal Likelihood (MML) estimation. Our new MML-based Preference Optimization (MMPO) maximizes the marginal log-likelihood of a preferred text output, using the preference pair as samples for approximation, and forgoes the need for both an explicit reward model and entropy maximization. We theoretically demonstrate that MMPO implicitly performs preference optimization, producing a weighted gradient that naturally up-weights chosen responses over rejected ones. Across models ranging from 135M to 8B parameters, we empirically show that MMPO: 1) is more stable with respect to the hyperparameter compared to alternative baselines, and 2) achieves competitive or superior preference alignment while better preserving the base modelвЂ™s general language capabilities. Through a series of ablation experiments, we show that this improved performance is indeed attributable to MMPO's implicit preference optimization within the gradient updates.</t>
  </si>
  <si>
    <t>Saeed Najafi; Alona Fyshe</t>
  </si>
  <si>
    <t>Saeed Najafi</t>
  </si>
  <si>
    <t>1104-MAIN</t>
  </si>
  <si>
    <t>Instruction Tuning with and without Context: Behavioral Shifts and Downstream Impact</t>
  </si>
  <si>
    <t>Instruction tuning is a widely used approach to improve the instruction-following ability of large language models (LLMs). Instruction-tuning datasets typically include a mixture of context-augmented and context-free examples, yet prior work has largely combined these data types without examining their distinct effects. In this paper, we investigate how training LLMs with or without context affects model behavior and downstream performance. First, in the text domain, we show that LLMs trained with context attend more strongly to the provided knowledge, achieving better grounding. We also observe that context-augmented training shifts how LLMs use knowledge: models store and leverage less on parametric knowledge and instead depend more on the provided context. Second, we observe that using LLM trained with context-augmented data as the backbone for vision-language models reduces hallucination and improves grounding in the visual domain. Finally, we explore practical strategies for real-world deployments where context availability varies. We show that maintaining separate context-augmented and context-free models and routing inputs between them yields more robust overall performance than training a single mixed model, as it better preserves their complementary strengths.</t>
  </si>
  <si>
    <t>Hyunji Lee; Seunghyun Yoon; Yunjae Won; Hanseok Oh; Geewook Kim; Trung Bui; Franck Dernoncourt; Elias Stengel-Eskin; Mohit Bansal; Minjoon Seo</t>
  </si>
  <si>
    <t>Hyunji Lee</t>
  </si>
  <si>
    <t>1109-MAIN</t>
  </si>
  <si>
    <t>Query Decomposition for RAG: Balancing Exploration-Exploitation</t>
  </si>
  <si>
    <t>Retrieval-augmented generation (RAG) systems address complex user requests by decomposing them into subqueries, retrieving potentially relevant documents for each, and then aggregating them to generate an answer. Efficiently selecting informative documents requires balancing a key trade-off: (i) retrieving broadly enough to capture all the relevant material, and (ii) limiting retrieval to avoid excessive noise and computational cost. We formulate query decomposition and document retrieval in an exploitation-exploration setting, where retrieving one document at a time builds a belief about the utility of a given sub-query and informs the decision to continue exploiting or exploring an alternative. We experiment with a variety of bandit learning methods and demonstrate their effectiveness in dynamically selecting the most informative sub-queries. Our main finding is that estimating document relevance using rank information and human judgments yields a 35% gain in document-level precision, 15% increase in О±-nDCG, and better performance on the downstream task of long-form generation. Code is available on GitHub.</t>
  </si>
  <si>
    <t>Roxana Petcu; Kenton Murray; Daniel Khashabi; Evangelos Kanoulas; Maarten de Rijke; Dawn Lawrie; Kevin Duh</t>
  </si>
  <si>
    <t>Roxana Petcu</t>
  </si>
  <si>
    <t>1115-MAIN</t>
  </si>
  <si>
    <t>Do Images Speak Louder than Words? Investigating the Effect of Textual Misinformation in VLMs</t>
  </si>
  <si>
    <t>Vision-Language Models (VLMs) have shown strong multimodal reasoning capability on Visual-Question-Answering (VQA) benchmarks. However, their robustness against textual misinformation remains under-explored. While existing research has extensively studied the effect of misinformation in text-only domains, it is not clear how VLMs arbitrate between contradictory information from different modalities. To bridge the gap, we first propose the ConText-VQA (i.e. Conflicting Text) dataset, consisting of image-question pairs together with systematically generated persuasive prompts that deliberately conflict with visual evidence. Then, a thorough testing framework is designed and executed to benchmark the susceptibility of various models to these conflicting textual inputs. Comprehensive experiments over 11 state-of-the-art VLMs reveal that these models are indeed vulnerable to misleading prompts, often overriding clear visual evidence in favor of the conflicting text, and show an average performance drop of over 48.2% after only one round of persuasive conversation. Our findings highlight a critical limitation in current VLMs and underscore the need for improved robustness against textual manipulation.</t>
  </si>
  <si>
    <t>Chi Zhang; Wenxuan Ding; Jiale Liu; Mingrui Wu; Qingyun Wu; Ray Mooney</t>
  </si>
  <si>
    <t>Chi Zhang</t>
  </si>
  <si>
    <t>1122-MAIN</t>
  </si>
  <si>
    <t>AICD Bench: A Challenging Benchmark for AI-Generated Code Detection</t>
  </si>
  <si>
    <t>Large language models (LLMs) are increasingly capable of generating functional source code, raising questions about authorship, accountability, and security. While detecting AI-generated code is critical, existing datasets and benchmarks are narrow, typically limited to binary human-machine classification under in-distribution settings. To bridge this gap, we introduce AICD Bench, the most comprehensive benchmark for AI-generated code detection. It spans 2M samples, 77 models across 11 families, and 9 programming languages, including new reasoning models. Beyond scale, AICD Bench introduces three realistic detection tasks: (i) Robust Binary Classification under distribution shifts in language and domain; (ii) Model Family Attribution, grouping generators by architectural lineage; and (iii) Fine-Grained Human-Machine Classification across human, machine, hybrid, and adversarial code. We evaluate neural and classical detectors and show that performance remains far below practical usability, underscoring task difficulty. We release a unified, challenging evaluation suite to drive the next generation of robust approaches for AI-generated code detection</t>
  </si>
  <si>
    <t>Daniil Orel; Dilshod Azizov; Indraneil Paul; Yuxia Wang; Iryna Gurevych; Preslav Nakov</t>
  </si>
  <si>
    <t>Daniil Orel</t>
  </si>
  <si>
    <t>1123-MAIN</t>
  </si>
  <si>
    <t>Safeguarding Language Models via Self-Destruct Trapdoor</t>
  </si>
  <si>
    <t>The potential misuse and misalignment of language models (LMs) is a central safety concern. This work presents Self-Destruct, a novel mechanism to restrict specific behaviors in LMs by leveraging overlooked properties of the underlying hardware. We observe that the LM frameworks use limited-precision formats (e.g., FP32), which are vulnerable to overflow errors during matrix multiplications. Exploiting this property, Self-Destruct replaces selected weights in pre-trained LM layers with values that act as traps, triggering a system error only when the model engages in targeted behaviors, such as harmful text generation, while leaving normal functionality unaffected. Unlike post-hoc filters, this safeguard is embedded directly within the model, introduces neither inference overhead nor auxiliary models, and requires only a set of examples for calibration. Experiments on Llama-3.2 and Qwen-2.5 demonstrate that Self-Destruct provides competitive protection against jailbreak attacks while preserving accuracy on standard benchmarks. Our results highlight the potential of hardware-aware safeguards as an efficient, low-overhead complement to existing LM defenses.</t>
  </si>
  <si>
    <t>Shahar Katz; Bar Alon; Ariel Shaulov; Lior Wolf; Mahmood Sharif</t>
  </si>
  <si>
    <t>Bar Alon</t>
  </si>
  <si>
    <t>1124-MAIN</t>
  </si>
  <si>
    <t>Rethinking Hallucinations: Correctness, Consistency, and Prompt Multiplicity</t>
  </si>
  <si>
    <t>Large language models (LLMs) are known to "hallucinate" by generating false or misleading outputs. Hallucinations pose various harms, from erosion of trust to widespread misinformation. Existing hallucination evaluation, however, focuses only on correctness and often overlooks consistency, necessary to distinguish and address these harms. To bridge this gap, we introduce prompt multiplicity, a framework for quantifying consistency in LLM evaluations. Our analysis reveals significant multiplicity (over 50% inconsistency in benchmarks like Med-HALT), suggesting that hallucination-related harms have been severely misunderstood. Furthermore, we study the role of consistency in hallucination detection and mitigation. We find that: (a) detection techniques detect consistency, not correctness, and (b) mitigation techniques like RAG, while beneficial, can introduce additional inconsistencies. By integrating prompt multiplicity into hallucination evaluation, we provide an improved framework of potential harms and uncover critical limitations in current detection and mitigation strategies.</t>
  </si>
  <si>
    <t>Prakhar Ganesh; Reza Shokri; Golnoosh Farnadi</t>
  </si>
  <si>
    <t>Prakhar Ganesh</t>
  </si>
  <si>
    <t>1126-MAIN</t>
  </si>
  <si>
    <t>Hype or not? Formalizing Automatic Promotional Language Detection in Biomedical Research</t>
  </si>
  <si>
    <t>In science, promotional language ('hype') is increasing and can undermine objective evaluation of evidence, impede research development, and erode trust in science. In this paper, we introduce the task of automatic detection of hype, which we define as hyperbolic or subjective language that authors use to glamorize, promote, embellish, or exaggerate aspects of their research. We propose formalized guidelines for identifying hype language and apply them to annotate a portion of the National Institutes of Health (NIH) grant application corpus. We then evaluate traditional text classifiers and language models on this task, comparing their performance with a human baseline. Our experiments show that formalizing annotation guidelines can help humans reliably annotate candidate hype adjectives and that using our annotated dataset to train machine learning models yields promising results. Our findings highlight the linguistic complexity of the task and the potential need for domain knowledge. While some linguistic works address hype detection, to the best of our knowledge, we are the first to approach it as a natural language processing task.</t>
  </si>
  <si>
    <t>Bojan Batalo; Erica K. Shimomoto; Dipesh Satav; Neil Millar</t>
  </si>
  <si>
    <t>Bojan Batalo</t>
  </si>
  <si>
    <t>1139-MAIN</t>
  </si>
  <si>
    <t>BLUR: A Bi-Level Optimization Approach for LLM Unlearning</t>
  </si>
  <si>
    <t>Enabling large language models (LLMs) to unlearn knowledge and capabilities acquired during training has proven vital for ensuring compliance with data regulations and promoting ethical practices in generative AI. Although there are growing interests in developing various unlearning algorithms, it remains unclear how to best formulate the unlearning problem. The most popular formulation uses a weighted sum of forget and retain loss, but it often leads to performance degradation due to the inherent trade-off between forget and retain losses. In this work, we argue that it is important to model the hierarchical structure of the unlearning problem, where the forget problem (which \textit{unlearns} certain knowledge and/or capabilities) takes priority over the retain problem (which preserves model utility). This hierarchical structure naturally leads to a bi-level optimization formulation where the lower-level objective focuses on minimizing the forget loss, while the upper-level objective aims to maintain the model's utility. Based on this new formulation, we propose a novel algorithm, termed Bi-Level UnleaRning (\texttt{BLUR}), which not only possesses strong theoretical guarantees but more importantly, delivers superior performance. In particular, our extensive experiments demonstrate that \texttt{BLUR} consistently outperforms all the state-of-the-art algorithms across various unlearning tasks, models, and metrics.</t>
  </si>
  <si>
    <t>Hadi Reisizadeh; Jinghan Jia; Zhiqi Bu; Bhanukiran Vinzamuri; Anil Ramakrishna; Kai-Wei Chang; Volkan Cevher; Sijia Liu; Mingyi Hong</t>
  </si>
  <si>
    <t>Hadi Reisizadeh</t>
  </si>
  <si>
    <t>1148-MAIN</t>
  </si>
  <si>
    <t>DeepInsert: Early Layer Bypass for Efficient and Performant Multimodal Understanding</t>
  </si>
  <si>
    <t>Hyperscaling of data and parameter count in LLMs is yielding diminishing improvement, especially when weighed against training costs, underlining a growing need for more efficient finetuning and inference without sacrificing performance. This is especially so for multimodal models (MLMs), where the overhead of processing multimodal tokens alongside language data often limits the practical viability of these systems. Parallely, recent work has uncovered implicit cross-modal alignment in the deeper layers of large MLMs, improving our understanding of how MLMs process and encode information. Motivated by this, and our observation that MLMs naturally defer most cross-modal token interactions to deeper layers of the model, we propose a simple modification. Instead of concatenation with the language prompt at the start, we insert multimodal tokens directly into the middle, allowing them to entirely bypass the early layers. Our results with diverse modalities, (i) LLaVA &amp; BLIP for vision, (ii) LTU for audio, and (iii) MoLCA for molecular data, and broad model sizes, starting from 350M and going upto 13B parameters, indicate that our method reduces both training and inference costs, while at least preserving, if not surpassing the performance of existing baselines.</t>
  </si>
  <si>
    <t>Moulik Choraria; Xinbo Wu; Akhil Bhimaraju; Nitesh Sekhar; Yue Wu; Xu Zhang; Prateek Singhal; Lav R. Varshney</t>
  </si>
  <si>
    <t>Moulik Choraria</t>
  </si>
  <si>
    <t>1151-MAIN</t>
  </si>
  <si>
    <t>Dynamic Cheatsheet: Test-Time Learning with Adaptive Memory</t>
  </si>
  <si>
    <t>Despite their impressive performance on complex tasks, current language models (LMs) typically operate in a vacuum: Each input query is processed separately, without retaining insights from previous attempts. Here, we present Dynamic Cheatsheet (DC), a lightweight framework that endows a black-box LM with a persistent, evolving memory. Rather than repeatedly re-discovering or re-committing the same solutions and mistakes, DC enables models to store and reuse accumulated strategies, code snippets, and general problem-solving insights at inference time. This test-time learning enhances performance substantially across a range of tasks without needing explicit ground-truth labels or human feedback. Leveraging DC, Claude 3.5 SonnetвЂ™s accuracy more than doubled on AIME math exams once it began retaining algebraic insights across questions. Similarly, GPT-4oвЂ™s success rate on the Game of 24 puzzle increased from about 10% to 99% after the model discovered and reused a Python-based solution. In tasks prone to arithmetic mistakes, such as balancing equations, DC enabled GPT-4o and Claude to reach near-perfect accuracy by recalling previously validated code, whereas their baselines stagnated around 50%. Beyond arithmetic challenges, DC yields notable accuracy gains on knowledge-demanding tasks. Claude achieved a 9% improvement in GPQA-Diamond and an 8% boost on MMLU-Pro Engineering and Physics problems. Crucially, DCвЂ™s memory is self-curated, focusing on concise, transferable snippets rather than entire transcripts, thereby facilitating meta-learning and avoiding context ballooning. Unlike fine-tuning or static retrieval methods, DC adapts LMsвЂ™ problem-solving skills on the fly, without modifying their underlying parameters, and offers a practical approach for continuously refining responses and cutting routine errors. Overall, our findings present DC as a promising approach for augmenting LMs with persistent memory, bridging the divide between isolated inference events and the cumulative, experience-driven learning characteristic of human cognition.</t>
  </si>
  <si>
    <t>Mirac Suzgun; Mert Yuksekgonul; Federico Bianchi; Dan Jurafsky; James Zou</t>
  </si>
  <si>
    <t>Mirac Suzgun</t>
  </si>
  <si>
    <t>1153-MAIN</t>
  </si>
  <si>
    <t>Evidential Semantic Entropy for LLM Uncertainty Quantification</t>
  </si>
  <si>
    <t>Quantifying uncertainty in large language models (LLMs) is crucial for applications where safety is a concern, as it helps identify factually incorrect LLM answers, commonly referred to as hallucinations. Recently, advancements have been made in quantifying uncertainty, specifically by incorporating the semantics of sampled answers to estimate entropy. These methods typically rely on a normalized probability that is calculated using a limited number of sampled answers. However, we note these estimation methods fail to account for the effects of the semantics that are possible to be obtained as answers, but are not observed in the sample. This is a significant oversight, since a heavier tail of unobserved answer probabilities indicates a higher level of overall uncertainty. To alleviate this issue, we propose Evidential Semantic Entropy (EVSE), which leverages evidence theory to represent both total ignorance arising from unobserved answers and partial ignorance stemming from the semantic relationships among the observed answers. Experiments show that EVSE significantly improves uncertainty quantification performance. Our code is available at: \url{https://anonymous.4open.science/r/EvidentialSemanticEntropy-6371}.</t>
  </si>
  <si>
    <t>Lucie Kunitomo-Jacquin; Edison Marrese-Taylor; Ken Fukuda; Masahiro Hamasaki</t>
  </si>
  <si>
    <t>Lucie Kunitomo-Jacquin</t>
  </si>
  <si>
    <t>1154-MAIN</t>
  </si>
  <si>
    <t>LLMs Know More About Numbers than They Can Say</t>
  </si>
  <si>
    <t>We show that despite their ability to solve mathematical problems, state-of-the-art LLMs such as GPT-4o struggle with seemingly simpler numerical comparisons when they mix notations: "Which is larger, $5.7 \times 10^2$ or $580$?’' This raises a fundamental question: do LLMs even know how big these numbers are? We linearly probe several LLMs' hidden states, and find that they internally encode numerals to about 2.7\% relative error (on restricted synthetic text) or 22\% (on scientific papers), representing the log-magnitudes of both decimal and scientific-notation in the same 1-dimensional subspace. Furthermore, the hidden state after reading a *pair* of numerals encodes their *ranking* with over 90\% accuracy. Yet surprisingly, when explicitly asked to rank pairs of numerals, LLMs achieve only up to 70\% accuracy, and models with less effective probes show even worse performance. Finally, we show that incorporating classification probing loss as an auxiliary objective during finetuning brings an additional 9.18\% improvement in verbalized accuracy over base models, demonstrating that improving models' internal magnitude representations can enhance their numerical reasoning capabilities.</t>
  </si>
  <si>
    <t>Fengting Yuchi; Li Du; Jason Eisner</t>
  </si>
  <si>
    <t>Fengting Yuchi</t>
  </si>
  <si>
    <t>1157-MAIN</t>
  </si>
  <si>
    <t>SCENEBench: An Audio Understanding Benchmark Grounded in Assistive and Industrial Use Cases</t>
  </si>
  <si>
    <t>Advances in large language models (LLMs) have enabled significant capabilities in audio processing, resulting in state-of-the-art models now known as Large Audio Language Models (LALMs). However, minimal work has been done to measure audio understanding beyond automatic speech recognition (ASR). This paper closes that gap by proposing a benchmark suite, SCENEBench (Spatial, Cross-lingual, Environmental, Non-speech Evaluation), that targets a broad form of audio comprehension across four real-world categories: background sound understanding, noise localization, cross-linguistic speech understanding, and vocal characterizer recognition. In addition to performance, we also measure model latency. The purpose of this benchmark suite is to assess the audio beyond just what words are said--- rather, in how they are said and the non-speech components of the audio. To strengthen ecological validity, we include a small human-recorded evaluation split per category. Based on the needs articulated by audio understanding use-cases of accessibility technology and industrial noise monitoring, this benchmark reveals critical gaps in current LALMs. The performance in each task is quite varied, with some tasks having performance far below random chance and others with high accuracy. We also provide a structured error taxonomy to characterize standard failure modes across tasks. These results provide direction for targeted improvements in model capabilities.</t>
  </si>
  <si>
    <t>Laya Iyer; Angelina Wang; Sanmi Koyejo</t>
  </si>
  <si>
    <t>1161-MAIN</t>
  </si>
  <si>
    <t>DivMerge: A divergence-based model merging method for multi-tasking</t>
  </si>
  <si>
    <t>Merging fine-tuned models is a promising alternative to costly multi-task training, but task interference remains a challenge, especially as the number of tasks grows. We present DivMerge, a reference-free method that merges models trained on different tasks by minimizing Jensen-Shannon divergence between their outputs and those of the merged model, automatically balancing task importance. While the method exhibits strong theoretical properties, experiments on classification and generative tasks with autoregressive models show that DivMerge consistently outperforms prior work, and remains robust when scaling to more tasks.</t>
  </si>
  <si>
    <t>Brahim Touayouch; LoГЇc Fosse; GГ©raldine Damnati; GwГ©nolГ© LecorvГ©</t>
  </si>
  <si>
    <t>Loïc Fosse</t>
  </si>
  <si>
    <t>1164-MAIN</t>
  </si>
  <si>
    <t>Agent-Testing Agent: A Meta-Agent for Automated Testing and Evaluation of Conversational AI Agents</t>
  </si>
  <si>
    <t>LLM agents are increasingly deployed to plan, retrieve, and write with tools, yet evaluation still leans on static benchmarks and small human studies. We present the Agent-Testing Agent (ATA), a meta-agent that combines static code analysis, developer interrogation, literature mining, and persona-driven adversarial test generation whose difficulty adapts via judge feedback. Each dialogue is scored with an LLM-as-a-Judge (LAAJ) rubric and used to steer subsequent tests toward the agent's weakest capabilities. On a travel planner and a Wikipedia writer, the ATA surfaces more diverse and severe failures than expert annotators while matching severity, and finishes in 20--30 minutes versus ten-annotator rounds that took days. Ablating code analysis and web search increases variance and miscalibration, underscoring the value of evidence-grounded test generation. The ATA outputs quantitative metrics and qualitative bug reports for developers. We release the full open-source implementation.</t>
  </si>
  <si>
    <t>Sameer Komoravolu; Khalil Mrini</t>
  </si>
  <si>
    <t>Unknown</t>
  </si>
  <si>
    <t>1166-MAIN</t>
  </si>
  <si>
    <t>User-Centric Evidence Ranking for Attribution and Fact Verification</t>
  </si>
  <si>
    <t>Attribution and fact verification are critical challenges in natural language processing for assessing information reliability. While automated systems and Large Language Models (LLMs) aim to retrieve and select concise evidence to support or refute claims, current inaccuracies often present users with either insufficient or overwhelming information, leading to inefficient and error-prone verification. To address this, we propose User-Centric Evidence Ranking, a novel task that prioritizes presenting sufficient information as early as possible in a ranked list, aligning with a userвЂ™s sequential verification process. This minimizes user reading effort while keeping all candidate evidence accessible. We introduce a novel evaluation framework inspired by information retrieval metrics and construct a unified benchmark by aggregating existing fact verification datasets. Our extensive experiments with diverse models show that incremental ranking strategies better capture complementary evidence and that LLM-based methods outperform shallower baselines, while still facing challenges in balancing sufficiency and redundancy. A supporting user study further confirms that incremental ranking reduces reading effort and improves verification outcomes compared to standard evidence selection. This work establishes a foundational step toward more interpretable, efficient, and user-aligned verification systems.</t>
  </si>
  <si>
    <t>Guy Alt; Eran Hirsch; Serwar Basch; Ido Dagan; Oren Glickman</t>
  </si>
  <si>
    <t>Guy Alt</t>
  </si>
  <si>
    <t>1170-MAIN</t>
  </si>
  <si>
    <t>Beyond Understanding: Evaluating the Pragmatic Gap in LLMs' Cultural Processing of Figurative Language</t>
  </si>
  <si>
    <t>We present a comprehensive evaluation of large language modelsвЂ™ (LLMs) ability to process culturally grounded language, specifically to understand and pragmatically use figurative expressions that encode local knowledge and social nuance. Using figurative language as a proxy for cultural nuance and local knowledge, we design evaluation tasks for contextual understanding, pragmatic use, and connotation interpretation across Arabic and English. We evaluate 22 open- and closed-source LLMs on Egyptian Arabic idioms, multidialectal Arabic proverbs, and English proverbs. Results show a consistent hierarchy: accuracy on Arabic proverbs is 4.29% lower than on English proverbs, and performance on Egyptian idioms is 10.28% lower than on Arabic proverbs. On the pragmatic use task, accuracy drops by 14.07% relative to understanding, though providing idiomsвЂ™ contextual sentences improves accuracy by 10.66%. Models also struggle with connotative meaning, reaching at most 85.58% agreement with human annotators on idioms with full inter-annotator agreement. Figurative language thus serves as an effective diagnostic for cultural reasoning, revealing that while LLMs often interpret figurative meaning, they still face major challenges in using it appropriately. To support future research, we release Kinayat, the first dataset of Egyptian Arabic idioms designed for both figurative understanding and pragmatic use evaluation.</t>
  </si>
  <si>
    <t>Mena Attia; Aashiq Muhamed; Mai Alkhamissi; Thamar Solorio; Mona T. Diab</t>
  </si>
  <si>
    <t>Mena Attia</t>
  </si>
  <si>
    <t>1178-MAIN</t>
  </si>
  <si>
    <t>VietMix: A Naturally-Occurring Parallel Corpus and Augmentation Framework for Vietnamese-English Code-Mixed Machine Translation</t>
  </si>
  <si>
    <t>Machine translation (MT) systems universally degrade when faced with code-mixed text. This problem is more acute for low-resource languages that lack dedicated parallel corpora. This work directly addresses this gap for Vietnamese-English, a language context characterized by challenges including orthographic ambiguity and the frequent omission of diacritics in informal text. We introduce VietMix, the first expert-translated, naturally occurring parallel corpus of Vietnamese-English code-mixed text. We establish VietMix's utility by developing a data augmentation pipeline that leverages iterative fine-tuning and targeted filtering. Experiments show that models augmented with our data outperform strong back-translation baselines by up to +3.5 xCOMET points and improve zero-shot models by up to +11.9 points. Our work delivers a foundational resource for a challenging language pair and provides a validated, transferable framework for building and augmenting corpora in other low-resource settings.</t>
  </si>
  <si>
    <t>Hieu Tran; Phuong-Anh Nguyen-Le; Huy Nghiem; Quang-Nhan Nguyen; Wei Ai; Marine Carpuat</t>
  </si>
  <si>
    <t>Phuong-Anh Nguyen-Le</t>
  </si>
  <si>
    <t>1183-MAIN</t>
  </si>
  <si>
    <t>Do You See Me?: A Diagnostic Benchmark for Evaluating Visual Perception in Multimodal Language Models</t>
  </si>
  <si>
    <t>Multimodal Large Language Models (MLLMs) show reasoning promise, yet their visual perception is a critical bottleneck. Paradoxically, MLLMs sometimes produce correct answers while misinterpreting crucial visual elements, masking these underlying perception failures. Our preliminary analysis on a joint perception-reasoning dataset revealed that 29% of correct reasoning answers from a leading MLLM contained perception errors. To systematically study visual perception abilities of MLLMs, we introduce \textbf{Do You See Me}- a scalable, programmatically generated benchmark with 1758 images and 2612 questions across seven core subtasks spanning 2D and 3D variants (twelve total tasks) providing parametric control over difficulty levels. The benchmark tasks are inspired by human psychology. Our evaluation of eleven leading MLLMs reveals a stark deficit: humans achieve 96.49% accuracy, while top MLLMs average below 50%. This performance gap widens drastically as task complexity increases. Further diagnostics show: (1) supervised finetuning offers only modest gains, (2) models tend to exploit task вЂњshortcutsвЂќ like MCQ formats over detailed visual analysis, and (3) Chain-of-Thought prompting can degrade complex visual tasks by verbalizing images into lossy text. These findings expose the foundational perception limits in current MLLMs and highlight the need for robust visual perception improvements in MLLMs. The benchmark dataset, source code and evaluation scripts are available at\footnote{\url{https://anonymous.4open.science/r/DoYouSeeMe-F52E/README.md}}.</t>
  </si>
  <si>
    <t>Aditya Sanjiv Kanade; Tanuja Ganu</t>
  </si>
  <si>
    <t>Aditya Kanade</t>
  </si>
  <si>
    <t>1186-MAIN</t>
  </si>
  <si>
    <t>Detecting Subtle Biases: An Ethical Lens on Underexplored Areas in AI Language Models Biases</t>
  </si>
  <si>
    <t>Large Language Models (LLMs) are increasingly embedded in the daily lives of individuals across diverse social classes. This widespread integration raises urgent concerns about the subtle, implicit biases these models may contain. In this work, we investigate such biases through the lens of ethical reasoning, analyzing model responses to scenarios in a new dataset we propose comprising 1,020 scenarios, systematically categorized into ethical, unethical, and neutral types. Our study focuses on dimensions that are socially influential but less explored, including (i) residency status, (ii) political ideology, (iii) Fitness Status, (iv) educational attainment, and (v) attitudes toward AI. To assess LLMsвЂ™ behavior, we propose a baseline and employ one statistical test and one metric: a permutation test that reveals the presence of bias by comparing the probability distributions of ethical/unethical scenarios with the probability distribution of neutral scenarios on each demographic group, and a tendency measurement that captures the magnitude of bias with respect to the relative difference between probability distribution of ethical and unethical scenarios. Our evaluations of 12 prominent LLMs reveal persistent and nuanced biases across all four attributes, and Llama models exhibited the most pronounced biases. These findings highlight the need for refined ethical benchmarks and bias-mitigation tools in LLMs.</t>
  </si>
  <si>
    <t>Shayan Bali; Farhan Farsi; Mohammad Hosseini; Adel Khorramrouz; Ehsaneddin Asgari</t>
  </si>
  <si>
    <t>Shayan Bali</t>
  </si>
  <si>
    <t>1188-MAIN</t>
  </si>
  <si>
    <t>HarfoSokhan: A Comprehensive Parallel Dataset for Transitions between Persian Colloquial and Formal Variations</t>
  </si>
  <si>
    <t>A wide array of NLP/NLU models have been developed for the Persian language and have shown promising results. However, the performance of such models drops significantly when applied to the colloquial form of Persian. This challenge arises from the substantial differences between colloquial and formal Persian and the lack of parallel data facilitating the robustness of the model to the colloquial data or to transform the data to formal Persian. In addressing this gap, our research is dedicated to the development of the HarfoSokhan dataset, a large-scale colloquial to formal Persian parallel dataset of 6M sentence pairs. Our proposed dataset is a critical resource for training models that can effectively bridge the linguistic variations between colloquial and formal Persian. To illustrate the utility of our dataset, we used it to train a GPT2 model, which exhibited remarkable proficiency in colloquial to formal text style transfer, outperforming both OpenAI's GPT-3.5-turbo model and a leading rule-based system in this task. This conclusion is supported by our proposed ranking-based human evaluation. The results underscore the significance of the HarfoSokhan dataset in enhancing the performance of natural language processing models in the challenging task of colloquial to formal Persian conversion.</t>
  </si>
  <si>
    <t>Hamid Jahad Sarvestani; Vida Ramezanian; Saee Saadat; Neda Taghizadeh Serajeh; Maryam Sadat Razavi Taheri; Shohreh Kasaei; MohammadAmin Fazli; Ehsaneddin Asgari</t>
  </si>
  <si>
    <t>Ehsaneddin Asgari</t>
  </si>
  <si>
    <t>1194-MAIN</t>
  </si>
  <si>
    <t>JointCal: Efficient and Effective Domain-adapted Compression</t>
  </si>
  <si>
    <t>Large language models (LMs) excel across diverse domains, yet require substantial computational resources during inference. Model compression has proved a successful direction towards reducing these costs, exemplified by the performance preservation on general-purpose benchmarks. However, model compression methods can substantially degrade performance for specialized domains, such as law and healthcare. We therefore present JointCal, a novel approach that simultaneously models the importance of weights to both specialized and general capabilities. This leverages a unique layer-wise reconstruction loss formulation that captures the activations from different domains and the interactions between them. Using a battery of experiments across tasks and models, we empirically show that JointCal offers consistent improvements on specialized benchmarks, while preserving overall performance. In contrast to prior work towards domain-adapted compression, our approach does not require any resource-intensive model training procedures, reducing the duration of compression from hours to minutes.</t>
  </si>
  <si>
    <t>Miles Williams; George Chrysostomou; Vitor Amancio Jeronymo; Nikolaos Aletras</t>
  </si>
  <si>
    <t>Miles Williams</t>
  </si>
  <si>
    <t>1195-MAIN</t>
  </si>
  <si>
    <t>GRAVITY: A Framework for Personalized Text Generation via Profile-Grounded Synthetic Preferences</t>
  </si>
  <si>
    <t>Personalization in LLMs often relies on costly human feedback or interaction logs, limiting scalability and neglecting deeper user attributes. We introduce \approach (\textbf{G}enerative \textbf{R}esponse with \textbf{A}ligned \textbf{V}alues, \textbf{I}nterests, and \textbf{T}raits of \textbf{Y}ou), a framework for generating \textbf{synthetic, profile-grounded preference data} that captures usersвЂ™ interests, values, beliefs, and personality traits. By integrating demographic, cultural, and psychological frameworksвЂ”including HofstedeвЂ™s cultural dimensions, SchwartzвЂ™s basic values, the World Values Survey, and Big Five OCEAN traitsвЂ”\approach synthesizes chosen/rejected preference pairs to guide personalized content generation. We evaluate \approach on book descriptions for 400 Amazon users, comparing it to prompt-based conditioning, standard fine-tuning, and naive synthetic pair generation. Profile-grounded synthetic data consistently improves generation, especially across multiple cultures (USA, Brazil, Japan, India), achieving over 4% higher preference gains across baselines, with user studies showing that \approach outputs are preferred over 86% of the time. Our results show that scenario-grounded synthetic data can capture richer user variation, reduce reliance on costly annotation, and produce more engaging, user-centered content, offering a scalable path for LLM personalization. \textit{Code and datasets will be released upon acceptance.}</t>
  </si>
  <si>
    <t>Priyanka Dey; Daniele Rosa; Wenqing Zheng; Daniel Barcklow; Jieyu Zhao; Emilio Ferrara</t>
  </si>
  <si>
    <t>Priyanka Dey</t>
  </si>
  <si>
    <t>1203-MAIN</t>
  </si>
  <si>
    <t>Multimodal Conversation Structure Understanding</t>
  </si>
  <si>
    <t>While large language models (LLMs) excel at dialogue, whether they can adequately parse the structure of conversationвЂ”resolve the reply-to relationship between utterances, or attribute roles like speakers and addresseesвЂ”remains underexplored, especially in multimodal settings. To address this, we introduce a suite of tasks for multimodal conversation understanding and release TV-MMPC, a new human-annotated dataset of conversational roles and threading in television dialogue. Our evaluation reveals that while all multimodal LLMs outperform our heuristic baseline, even the best-performing model we consider experiences a substantial drop in performance when character identities of the conversation are anonymized. Beyond evaluation, we carry out a sociolinguistic analysis of 350,842 utterances in TVQA. We find that while female characters initiate conversations at rates in proportion to their speaking time, they are 1.2 times more likely than men to be cast as an addressee or side-participant, and the presence of side-participants shifts the conversational register from personal to social.</t>
  </si>
  <si>
    <t>Kent K. Chang; Mackenzie Hanh Cramer; Anna Ho; Ti Ti Nguyen; Yilin Yuan; David Bamman</t>
  </si>
  <si>
    <t>Kent K. Chang</t>
  </si>
  <si>
    <t>1206-MAIN</t>
  </si>
  <si>
    <t>A Review of Incorporating Psychological Theories in LLMs</t>
  </si>
  <si>
    <t>This paper reviews how psychological theories inform large language model (LLM) development across data, pre-training, post-training, and evaluation/application. We synthesize insights from cognitive, developmental, behavioral, social, personality psychology, and psycholinguistics. Our stage-wise analysis reveals patterned but uneven adoption: cognitive constructs appear across stages; behavioral principles dominate post-training and alignment; and social/personality/psycholinguistic theories are most prevalent in evaluation and application. We highlight underused frameworks (e.g., identity and influence in social psychology; schema theory in cognition) and ongoing debates (e.g., reliability of ToM/personality measures, theoryвЂ“method mismatches). To aid readers, we add impact cues for seminal works and an appendix table of high-impact milestones by stage. We conclude with recommendations for theory-grounded evaluation and closer collaboration between NLP and psychology to achieve more robust, ethically aligned LLMs.</t>
  </si>
  <si>
    <t>Zizhou Liu; Ziwei Gong; Lin Ai; Zheng Hui; Run Chen; Colin Wayne Leach; Michelle R. Greene; Julia Hirschberg</t>
  </si>
  <si>
    <t>Ziwei Gong</t>
  </si>
  <si>
    <t>1209-MAIN</t>
  </si>
  <si>
    <t>How Robust Are Router-LLMs? Analysis of the Fragility of LLM Routing Capabilities</t>
  </si>
  <si>
    <t>Large language model (LLM) routing has emerged as a crucial strategy for balancing computational costs with performance by dynamically assigning queries to the most appropriate model based on query complexity. Despite recent advances showing that preference-data-based routers can outperform traditional methods, current evaluation benchmarks remain limitedвЂ”they largely focus on general model capabilities while overlooking task-specific behaviors and critical concerns such as privacy, safety, and potential backdoor vulnerabilities introduced through preference data. In response, we propose the DSC benchmark: Diverse, simple, and categorized, an evaluation framework that categorizes router performance across a broad spectrum of query typesвЂ”including coding, translation, mathematics, human instructions, general knowledge, and LLM jailbreakingвЂ”and integrates privacy and safety assessments to reveal hidden risks. Our experiments on three preference-based routers and two commercial counterparts demonstrate that while these systems improve efficiency, they often make suboptimal, category-driven decisions; for instance, a BERT-based router directs all coding and mathematics queries to the most powerful LLMвЂ”even when simpler models would sufficeвЂ”while routing jailbreaking attempts to weaker models, thereby elevating safety risks.</t>
  </si>
  <si>
    <t>Aly M. Kassem; Bernhard SchГ¶lkopf; Zhijing Jin</t>
  </si>
  <si>
    <t>Aly Kassem</t>
  </si>
  <si>
    <t>1212-MAIN</t>
  </si>
  <si>
    <t>NG-Router: Graph-Supervised Multi-Agent Collaboration for Nutrition Question Answering</t>
  </si>
  <si>
    <t>Diet plays a central role in human health, and Nutrition Question Answering (QA) offers a promising path toward personalized dietary guidance and the prevention of diet-related chronic diseases. However, existing methods face two fundamental challenges: the limited reasoning capacity of single-agent systems and the complexity of designing effective multi-agent architectures, as well as contextual overload that hinders accurate decision-making. We introduce Nutritional-Graph Router (NG-Router), a novel framework that formulates nutritional QA as a supervised, knowledge-graphвЂ“guided multi-agent collaboration problem. NG-Router integrates agent nodes into heterogeneous knowledge graphs and employs a graph neural network to learn task-aware routing distributions over agents, leveraging soft supervision derived from empirical agent performance. To further address contextual overload, we propose a gradient-based subgraph retrieval mechanism that identifies salient evidence during training, thereby enhancing multi-hop and relational reasoning. Extensive experiments across multiple benchmarks and backbone models demonstrate that NG-Router consistently outperforms both single-agent and ensemble baselines, offering a principled approach to domain-aware multi-agent reasoning for complex nutritional health tasks.</t>
  </si>
  <si>
    <t>Kaiwen Shi; Zheyuan Zhang; Zhengqing Yuan; Keerthiram Murugesan; Vincent Galassi; Chuxu Zhang; Yanfang Ye</t>
  </si>
  <si>
    <t>Kaiwen Shi</t>
  </si>
  <si>
    <t>1213-MAIN</t>
  </si>
  <si>
    <t>Verification-Aware Planning for Multi-Agent Systems</t>
  </si>
  <si>
    <t>Large language model (LLM) agents are increasingly deployed to tackle complex tasks, often necessitating collaboration among multiple specialized agents. However, multi-agent collaboration introduces new challenges in planning, coordination, and verification. Execution failures frequently arise not from flawed reasoning alone, but from subtle misalignments in task interpretation, output format, or inter-agent handoffs. To address these challenges, we present VeriMAP, a framework for multi-agent collaboration with verification-aware planning. The VeriMAP planner decomposes tasks, models subtask dependencies, and encodes planner-defined passing criteria as subtask verification functions (VFs) in Python and natural language. We evaluate VeriMAP on diverse datasets, demonstrating that it outperforms both single- and multi-agent baselines while enhancing system robustness and interpretability. Our analysis highlights how verification-aware planning enables reliable coordination and iterative refinement in multi-agent systems, without relying on external labels or annotations.</t>
  </si>
  <si>
    <t>Tianyang Xu; Dan Zhang; Kushan Mitra; Estevam Hruschka</t>
  </si>
  <si>
    <t>Tianyang Xu</t>
  </si>
  <si>
    <t>1220-MAIN</t>
  </si>
  <si>
    <t>Diagnosing Vision Language Models' Perception by Leveraging Human Methods for Color Vision Deficiencies</t>
  </si>
  <si>
    <t>Large-scale Vision Language Models (LVLMs) are increasingly applied to a wide range of real-world multimodal tasks, involving complex visual and linguistic reasoning. As these models become more integrated as practical application, they are expected to handle complex aspects of human interaction. Among these, color perception is a fundamental yet highly variable aspect of visual understanding. It diverges across individuals due to biological factors such as Color Vision Deficiencies (CVDs), as well as differences in culture and language. Despite its importance, perceptual diversity has received limited attention. In our study, we use the Ishihara Test, a widely adopted diagnostic tool for detecting CVDs, to investigate the ability of LVLMs to handle individual-level perceptual diversity from three complementary perspectives: generation, confidence, and internal representation. Our experimental analysis shows that while LVLMs possess linguistic factual knowledge about the Ishihara Test and CVDs and can explain them, they still fail to simulate how people with CVDs perceive colors. These findings highlight the need for multimodal systems that account for color perceptual diversity and broader discussions on inclusiveness and fairness in multimodal AI.</t>
  </si>
  <si>
    <t>Kazuki Hayashi; Shintaro Ozaki; Yusuke Sakai; Hidetaka Kamigaito; Taro Watanabe</t>
  </si>
  <si>
    <t>Kazuki Hayashi</t>
  </si>
  <si>
    <t>1222-MAIN</t>
  </si>
  <si>
    <t>Active Generalized Category Discovery with Diverse LLM Feedback</t>
  </si>
  <si>
    <t>Generalized Category Discovery (GCD) is a practical and challenging open-world task that aims to recognize both known and novel categories in unlabeled data using limited labeled data from known categories. Due to the lack of supervision, previous GCD methods face significant challenges, such as difficulty in rectifying errors for confusing instances, and inability to effectively uncover and leverage the semantic meanings of discovered clusters. Therefore, additional annotations are usually required for real-world applicability. However, human annotation is extremely costly and inefficient. To address these issues, we propose DeLFGCD , a unified framework for generalized category discovery that actively learns from diverse and collaborative LLM feedback. Our approach leverages three different types of LLM feedback to: (1) improve instance-level contrastive features, (2) generate category descriptions, and (3) align uncertain instances with LLM-selected category descriptions. Extensive experiments demonstrate the superior performance of DeLFGCD over state-of-the-art models across diverse datasets, metrics, and supervision settings. Our code is available at https://anonymous.4open.science/r/GCD-LLM-0DB9</t>
  </si>
  <si>
    <t>Henry Peng Zou; Siffi Singh; Yi Nian; Jianfeng He; Jason Cai; Saab Mansour; Hang Su</t>
  </si>
  <si>
    <t>Saab Mansour</t>
  </si>
  <si>
    <t>1240-MAIN</t>
  </si>
  <si>
    <t>Over-Searching in Retrieval-Augmented Large Language Models</t>
  </si>
  <si>
    <t>Search-augmented large language models (LLMs) excel at knowledge-intensive tasks by integrating external retrieval. Yet they often over-search вЂ” unnecessarily invoking search even when it does not improve response quality, which inflates computational cost and can lead to hallucinations by introducing misleading evidence. In this work, we conduct a systematic evaluation of over-searching across query types, model categories, retrieval conditions, and single- vs. multi-turn settings. Our findings show: (i) search improves answer accuracy on answerable queries but harms abstention accuracy on unanswerable ones; (ii) the effect is stronger for reasoning-style and deep research systems, under noisy retrieval, and in multi-turn conversations where search behavior snowballs across turns; and (iii) the composition of retrieved evidence significantly governs abstention, with negative evidence improving abstention when present. To quantify over-searching, we introduce Tokens Per Correctness (TPC), an evaluation metric that captures the performance-cost trade-off for search-augmented LLMs. We investigate mitigation approaches at both query and retrieval levels and release OverSearchQA to foster continued research into improving efficiency in search-augmented LLMs.</t>
  </si>
  <si>
    <t>Roy Xie; Deepak Gopinath; David Qiu; Dong Lin; Haitian Sun; Saloni Potdar; Bhuwan Dhingra</t>
  </si>
  <si>
    <t>Roy Xie</t>
  </si>
  <si>
    <t>1255-MAIN</t>
  </si>
  <si>
    <t>LitBench: A Benchmark and Dataset for Reliable Evaluation of Creative Writing</t>
  </si>
  <si>
    <t>Evaluating creative writing generated by large language models (LLMs) remains challenging because open-ended narratives lack ground truths. Without performant automated evaluation methods, off-the-shelf (OTS) language models are employed as zero-shot judges, yet their reliability is unclear in this context. To address this gap, we introduce LitBench, a large-scale benchmark for creative writing evaluation, featuring a training corpus of 43,827 story pairs and a 2,480-pair test set curated from Reddit. Using LitBench, we benchmark existing LLM judges and train specialized reward models. Our analysis reveals that the strongest OTS judge, Claude-3.7-Sonnet, achieves only 73% agreement with human preferences. In contrast, our trained Bradley-Terry and generative reward models both reach 78% accuracy, outperforming all OTS judges. An online human study further validates our models, showing their rankings of newly generated stories align more closely with human preferences. Our work provides the first reliable benchmark and specialized reward models for creative writing, establishing a crucial foundation for the future development of more capable verifiers.</t>
  </si>
  <si>
    <t>Daniel Fein; Sebastian Russo; Violet Xiang; Kabir Jolly; Rafael Rafailov; Nick Haber</t>
  </si>
  <si>
    <t>Daniel Fein</t>
  </si>
  <si>
    <t>1258-MAIN</t>
  </si>
  <si>
    <t>H-Mem: Hybrid Multi-Dimensional Memory Management for Long-Context Conversational Agents</t>
  </si>
  <si>
    <t>Long-context conversational agents require robust memory, but existing frameworks struggle to organize information effectively across dimensions like time and topic, leading to poor retrieval. To address this, we introduce H-Mem, a novel Hybrid Multi-Dimensional Memory architecture. H-Mem stores conversational facts in two parallel, hierarchical data structures: a temporal tree that organizes information chronologically and a semantic tree that organizes it conceptually. This dual-tree design enables a hybrid retrieval mechanism managed by an intelligent Mode Controller. Based on the query, the controller dynamically chooses between a sequential search using semantic anchors and an intersective search combining both hierarchies. Our experiments on long-context QA datasets demonstrate that H-Mem provides a more flexible approach to memory management, leading to significant improvements of over 8.4\% compared to other state-of-the-art systems.</t>
  </si>
  <si>
    <t>Zihe Ye; Jingyuan Huang; Weixin Chen; Yongfeng Zhang</t>
  </si>
  <si>
    <t>Zihe Ye</t>
  </si>
  <si>
    <t>1263-MAIN</t>
  </si>
  <si>
    <t>``Yuki Gets Sushi, David Gets Steak?'': Uncovering Gender and Racial Biases in LLM-Based Meal Recommendations</t>
  </si>
  <si>
    <t>Group bias in Large Language Models (LLMs) is a well-documented issue, its impact in high-stakes domains such as personalized nutritional advice remains under explored. This study introduces the USChainMains dataset to systematically evaluate LLMs, prompting them with names associated with specific racial and gender groups and rigorously quantifying the healthfulness of the generated meal recommendations against established dietary standards. The findings demonstrate that LLMs systematically recommend meals with significantly higher levels of adverse nutrients for names associated with Black, Hispanic, or male individuals, thereby reflecting and potentially reinforcing detrimental dietary stereotypes. Furthermore, our analysis of two common mitigation strategies reveals their limitations. While model scaling improves overall recommendation healthfulness, it is insufficient to eliminate the healthfulness gap between demographic groups. Notably, while augmented reasoning was effective in mitigating gender bias, it did not mitigate racial disparities. This work underscores the necessity of developing more nuanced, group-aware debiasing techniques to ensure AI-driven systems advance, rather than hinder, health equity.</t>
  </si>
  <si>
    <t>Xuefeng Wei; Xuan Zhou; Yusuke Sakai; Taro Watanabe</t>
  </si>
  <si>
    <t>Xuefeng Wei</t>
  </si>
  <si>
    <t>1265-MAIN</t>
  </si>
  <si>
    <t>Happiness is Sharing a Vocabulary: A Study of Transliteration Methods</t>
  </si>
  <si>
    <t>Transliteration has emerged as a promising means to bridge the gap between various languages in multilingual NLP, showing promising results especially for languages using non-Latin scripts. We investigate the degree to which shared script, overlapping token vocabularies, and shared phonology contribute to performance of multilingual models. To this end, we conduct controlled experiments using three kinds of transliteration (romanization, phonemic transcription, and substitution ciphers) as well as orthography. We evaluate each model on two downstream tasks---named entity recognition (NER) and natural language inference (NLI)---and find that romanization significantly outperforms other input types in 7 out of 8 evaluation settings, largely consistent with our hypothesis that it is the most effective approach. We further analyze how each factor contributed to the success, and suggest that having longer (subword) tokens shared with pre-trained languages leads to better utilization of the model.</t>
  </si>
  <si>
    <t>Haeji Jung; Jinju Kim; Kyungjin Kim; Youjeong Roh; David R. Mortensen</t>
  </si>
  <si>
    <t>Haeji Jung</t>
  </si>
  <si>
    <t>1266-MAIN</t>
  </si>
  <si>
    <t>SCALAR: Scientific Citation-based Live Assessment of Long-context Academic Reasoning</t>
  </si>
  <si>
    <t>Long-context understanding has emerged as a critical capability for large language models (LLMs). However, evaluating this ability remains challenging. We present SCALAR, a benchmark designed to assess citation-grounded long-context reasoning in academic writing. SCALAR leverages academic papers and their citation structure to automatically generate high-quality ground-truth labels without human annotation. It features controllable difficulty levels and a dynamic updating mechanism that mitigates data contamination. The benchmark includes two tasks: a multiple-choice QA format and a cloze-style citation prediction. We evaluate a range of state-of-the-art LLMs and find that the multiple-choice task effectively distinguishes model capabilities---while human experts achieve over 90% accuracy, most models struggle. The cloze-style task is even more challenging, with no model exceeding 40% accuracy. SCALAR provides a domain-grounded, continuously updating framework for tracking progress in citation-based long-context understanding. Code and data will be publicly released.</t>
  </si>
  <si>
    <t>Renxi Wang; Honglin Mu; Liqun Ma; Lizhi Lin; Yunlong Feng; Timothy Baldwin; Xudong Han; Haonan Li</t>
  </si>
  <si>
    <t>Renxi Wang</t>
  </si>
  <si>
    <t>1285-MAIN</t>
  </si>
  <si>
    <t>{AnonGuard}: A Culturally-Aware Moderation Filter for Arabic Language Models</t>
  </si>
  <si>
    <t>Content moderation filters are a critical safeguard against alignment failures in language models. Yet most existing filters focus narrowly on general safety and overlook cultural context. In this work, we introduce {AnonGuard} (Masked for anonymity), a bilingual moderation filter that evaluates both safety and cultural alignment in Arabic and English. We construct a dataset of over 468K prompt and response pairs, drawn from synthetic and public datasets, scored by a panel of LLM judges on harmlessness and cultural awareness, and use it to train two filter variants. To rigorously evaluate cultural alignment, we further develop the first benchmark targeting Arabic cultural contexts, comprising 1008 norm-sensitive prompts with LLM-generated responses annotated by human raters. Results show that {AnonGuard} achieves stronger agreement with human annotations than inter-annotator reliability, while matching the performance of state-of-the-art filters on safety benchmarks. These findings highlight the importance of integrating cultural awareness into moderation and establish {AnonGuard} as a practical step toward more context-sensitive safeguards.</t>
  </si>
  <si>
    <t>Masoomali Fatehkia; Enes Altinisik; Husrev Taha Sencar</t>
  </si>
  <si>
    <t>Masoomali Fatehkia</t>
  </si>
  <si>
    <t>1286-MAIN</t>
  </si>
  <si>
    <t>BILLY: Steering Large Language Models via Merging Persona Vectors for Creative Generation</t>
  </si>
  <si>
    <t>Multi-LLM systems enhance the creativity of large language models by simulating human collective intelligence but suffer from significant drawbacks, such as high computational costs and inference latency. To address these limitations, we propose BILLY (BlendIng persona vectors for Large Language model creativitY), a training-free framework that captures the benefits of multi-LLM collaboration, i.e. inducing diverse perspectives and specialized expertise, within a single model. BILLY operates by extracting and blending multiple distinct persona vectors directly in the model's activation space. We steer the model's generation process with this merged vector while inference, enabling multi-perspective output without explicit multi-LLM communication. Our experiments across creativity-oriented benchmarks demonstrate that BILLY surpasses single model prompting and traditional multi-LLM approaches, while substantially reducing inference time and computational costs. Our analyses further reveal that distinct persona vectors can be blended to achieve both effective control over complementary aspects of generation and greater interpretability.</t>
  </si>
  <si>
    <t>Tsung-Min Pai; Jui-I Wang; Li-Chun Lu; Shao-Hua Sun; Hung-yi Lee; Kai-Wei Chang</t>
  </si>
  <si>
    <t>Tsung-Min Pai, Li-Chun Lu</t>
  </si>
  <si>
    <t>1288-MAIN</t>
  </si>
  <si>
    <t>Unveiling Intrinsic Dimension of Texts: from Academic Abstract to Creative Story</t>
  </si>
  <si>
    <t>Intrinsic dimension (ID) is an important tool in modern LLM analysis, informing studies of training dynamics, scaling behavior, and dataset structure, yet its textual determinants remain underexplored. We provide the first comprehensive study grounding ID in interpretable text properties through cross-encoder analysis, linguistic features, and sparse autoencoders (SAEs). In this work, we establish three key findings. First, ID is complementary to entropy-based metrics: after controlling for length, the two are uncorrelated, with ID capturing geometric complexity orthogonal to prediction quality. Second, ID exhibits robust genre stratification: scientific prose shows low ID ($\sim 8$), encyclopedic content medium ID ($\sim 9$), and creative/opinion writing high ID ($\sim 10.5$) across all models tested. This reveals that contemporary LLMs find scientific text "representationally simple" while fiction requires additional degrees of freedom. Third, using SAEs, we identify causal features: scientific signals (formal tone, report templates, statistics) reduce ID; humanized signals (personalization, emotion, narrative) increase it. Steering experiments confirm these effects are causal. Thus, for contemporary models, scientific writing appears comparatively "easy", whereas fiction, opinion, and affect add representational degrees of freedom. Our multi-faceted analysis provides practical guidance for the proper use of ID and the sound interpretation of ID-based results.</t>
  </si>
  <si>
    <t>Pedashenko Vladislav; Laida Kushnareva; Yana Khassan Nibal; Eduard Tulchinskii; Kristian Kuznetsov; Vladislav Zharchinskii; Yury Maximov; Irina Piontkovskaya</t>
  </si>
  <si>
    <t>Laida Kushnareva</t>
  </si>
  <si>
    <t>1299-MAIN</t>
  </si>
  <si>
    <t>Efficient Uncertainty Quantification of Language Models through Token Clustering</t>
  </si>
  <si>
    <t>Large language models (LLMs) have demonstrated remarkable capabilities across diverse tasks, yet their limited truthfulness and tendency toward overconfidence restrict their reliability when needing to state facts. Uncertainty quantification offers a promising approach to identify and manage unreliable outputs from LLMs. However, most existing uncertainty quantification methods typically require multiple sampling or external inference models, resulting in increased computational overhead. To address these limitations, we propose an efficient uncertainty quantification method that leverages semantic information inherently encoded within LLMs. Specifically, we cluster tokens into semantically coherent groups based on embedding similarity and prefix matching, and compute a cluster-based uncertainty score at each decoding step. Our approach requires only a single deterministic generation and does not rely on external inference models. Experiments across multiple datasets and models show that our method achieves performance comparable to existing baselines while significantly reducing computational overhead.</t>
  </si>
  <si>
    <t>Qi Cao; Andrew Gambardella; Takeshi Kojima; Yutaka Matsuo; Yusuke Iwasawa</t>
  </si>
  <si>
    <t>Qi Cao</t>
  </si>
  <si>
    <t>1305-MAIN</t>
  </si>
  <si>
    <t>Becoming Experienced Judges: Selective Test-Time Learning for Evaluators</t>
  </si>
  <si>
    <t>Most evaluation methods like LLM-as-a-judge treat each test example independently, overlooking the potential to learn from previous evaluations. We introduce **Learning While Evaluating** (LWE), a framework that enables evaluators to improve sequentially during testing without parameter updates. LWE maintains an evolving *meta-prompt* that (i) produces sample-specific evaluation instructions and (ii) updates itself using self-generated feedback after each batch. While sequential updating improves performance, processing every sample incurs substantial computational overhead. We therefore propose ***Selective* LWE**, which updates the meta-prompt only for cases where the evaluator is uncertain, focusing computation on the most informative samples. On multimodal pairwise evaluation benchmarks, *Selective* LWE outperforms baselines and achieves comparable accuracy to full sequential updates while significantly reducing token costs.</t>
  </si>
  <si>
    <t>Seungyeon Jwa; Daechul Ahn; Reokyoung Kim; Dongyeop Kang; Jonghyun Choi</t>
  </si>
  <si>
    <t>Seungyeon Jwa</t>
  </si>
  <si>
    <t>1310-MAIN</t>
  </si>
  <si>
    <t>Language Lives in Sparse Dimensions: Toward Interpretable and Efficient Multilingual Control for Large Language Models</t>
  </si>
  <si>
    <t>Large language models exhibit strong multilingual capabilities despite limited exposure to non-English data. Prior studies show that English-centric large language models map multilingual content into English-aligned representations at intermediate layers and then project them back into target-language token spaces in the final layer. From this observation, we hypothesize that this cross-lingual transition is governed by a small and sparse set of dimensions, which occur at consistent indices across the intermediate to final layers. Building on this insight, we introduce a simple, training-free method to identify and manipulate these dimensions, requiring only as few as 50 sentences of either parallel or monolingual data. Experiments on a multilingual generation control task reveal the interpretability of these dimensions, demonstrating that the interventions in these dimensions can switch the output language while preserving semantic content, and that it surpasses the performance of prior neuron-based approaches at a substantially lower cost.</t>
  </si>
  <si>
    <t>Chengzhi Zhong; Fei Cheng; Qianying Liu; Yugo Murawaki; Chenhui Chu; Sadao Kurohashi</t>
  </si>
  <si>
    <t>CHENGZHI ZHONG</t>
  </si>
  <si>
    <t>1312-MAIN</t>
  </si>
  <si>
    <t>Engagement Undermines Safety: How Stereotypes and Toxicity Shape Humor in Language Models</t>
  </si>
  <si>
    <t>Large language models are increasingly used for creative writing and engagement content, raising safety concerns about their outputs. Using humor generation as a testbed, this work evaluates how funniness optimization in modern LLM pipelines couples with harmful content by jointly measuring humor, stereotypicality, and toxicity. We further supplement this by analyzing incongruity signals through information-theoretic metrics. Across six models, we observe that harmful outputs receive higher humor scores, indicating a bias amplification loop between generators and evaluators. Information-theoretic analyses show that harmful cues widen predictive uncertainty and, surprisingly, can even make harmful punchlines more expected for some models, suggesting structural embedding in learned distributions. Experiments and human evaluation on an additional satire-generation task with human-perceived funniness judgments show that LLM funniness relies on increased stereotypicality and toxicity, including for closed models. Quantitatively, stereotypical/toxic jokes gain $10$%$-21$% in mean humor score, stereotypical jokes appear $11$% to $28$% more often among the jokes marked funny by an LLM-based metric, and up to $10$% more often in generations perceived as funny by humans.</t>
  </si>
  <si>
    <t>Atharvan Dogra; Soumya Suvra Ghosal; Ameet Deshpande; Ashwin Kalyan; Dinesh Manocha</t>
  </si>
  <si>
    <t>Atharvan Dogra</t>
  </si>
  <si>
    <t>1314-MAIN</t>
  </si>
  <si>
    <t>Are All Prompt Components Value-Neutral? Understanding the Heterogeneous Adversarial Robustness of Dissected Prompt in LLMs</t>
  </si>
  <si>
    <t>Prompt-based adversarial attacks are a key tool for assessing the robustness of large language models (LLMs). Yet, existing studies typically treat prompts as flat text, overlooking their internal structure, different components within a prompt contribute unequally to robustness. This work introduces PromptAnatomy, a framework that decomposes prompts into functional components and perturbs them selectively to expose component-wise vulnerabilities. We further propose ComPerturb, a controlled perturbation method that ensures linguistic plausibility through perplexity-based filtering. Using this framework, four instruction-tuning datasets are structurally annotated and validated by human reviewers. Experiments across five advanced LLMs show that ComPerturb achieves state-of-the-art attack success rates, while ablation analyses confirm the complementary effects of prompt dissection and perplexity filtering. These results highlight the importance of structural awareness in evaluating and improving the adversarial robustness of LLMs.</t>
  </si>
  <si>
    <t>Yujia Zheng; Tianhao Li; Haotian Huang; Tianyu Zeng; Jingyu Lu; Chuangxin Chu; Yuekai Huang; Ziyou Jiang; Qian Xiong; Yuyao Ge; Mingyang Li</t>
  </si>
  <si>
    <t>Yujia Zheng</t>
  </si>
  <si>
    <t>1315-MAIN</t>
  </si>
  <si>
    <t>A Regex Minimization Benchmark: A PSPACE-Complete Challenge for Language Models</t>
  </si>
  <si>
    <t>Language models (LMs) have shown impressive reasoning capabilities across various domains. A fundamental question is the extent of their reasoning power. While recent studies show that LMs can solve NP-complete problems, their ability to handle PSPACE-complete problems remains underexplored. We investigate regex minimization as a PSPACE-complete challenge for LMs to address this issue. Regexes, formal expressions for regular languages, are widely used in NLP, SE or PL. There are several efficient tools to manipulate them with theoretical background. Inspired by this, we introduce the first benchmark for regex minimization containing over a million regexes paired with their minimal equivalents. Through extensive experiments with two LMs trained on our dataset and five open-source large language models (LLMs), we analyze how well LMs perform on PSPACE-complete problems, highlighting their capabilities of generalization and limitations in reasoning. To the best of our knowledge, this is the first study to systematically evaluate LM reasoning in regex minimization and establish a foundation for solving PSPACE-complete problems with LMs.</t>
  </si>
  <si>
    <t>Hyundong Jin; Joonghyuk Hahn; Yo-Sub Han</t>
  </si>
  <si>
    <t>Hyundong Jin</t>
  </si>
  <si>
    <t>1322-MAIN</t>
  </si>
  <si>
    <t>Teaching Small Language Models to Learn Logic through Meta-Learning</t>
  </si>
  <si>
    <t>Large language models (LLMs) are increasingly evaluated on reasoning tasks, yet their logical abilities remain contested. To address this, we study LLMsвЂ™ reasoning in a well-defined fragment of logic: syllogistic reasoning. We cast the problem as premise selection and construct controlled datasets to isolate logical competence. Beyond evaluation, an open challenge is enabling LLMs to acquire abstract inference patterns that generalize to novel structures. We propose to apply few-shot meta-learning to this domain, thereby encouraging models to extract rules across tasks rather than memorize patterns within tasks. Although meta-learning has been little explored in the context of logic learnability, our experiments show that it is effective: small models (1.5BвЂ“7B) fine-tuned with meta-learning demonstrate strong gains in generalization, with especially pronounced benefits in low-data regimes. These meta-learned models outperform GPT-4o and o3-mini on our syllogistic reasoning task.</t>
  </si>
  <si>
    <t>Leonardo Bertolazzi; Manuel Vargas GuzmГЎn; Raffaella Bernardi; Maciej Malicki; Jakub Szymanik</t>
  </si>
  <si>
    <t>Leonardo Bertolazzi</t>
  </si>
  <si>
    <t>1324-MAIN</t>
  </si>
  <si>
    <t>COMPACT: Building Compliance Paralegals via Clause Graph Reasoning over Contracts</t>
  </si>
  <si>
    <t>Contract compliance verification requires reasoning about cross-clause dependenciesвЂ”where obligations, exceptions, and conditions interact across multiple provisionsвЂ”yet existing legal NLP benchmarks like ContractNLI and CUAD focus exclusively on isolated single-clause tasks. We introduce COMPACT (COMpliance PAralegals via Clause graph reasoning over conTracts), a framework that models cross-clause dependencies through structured clause graphs. Our approach extracts deontic-temporal entities from clauses and constructs typed relationship graphs capturing definitional dependencies, exception hierarchies, and temporal sequences. From these graphs, we introduce ACE (Assessing Compliance in Enterprise) вЂ” a benchmark containing 4,700 carefully constructed compliance scenarios derived from 633 real-world contracts covering 26 types of agreements. Each scenario requires multi-hop reasoning across multiple clauses, and undergoes independent LLM-based validation to ensure quality. Evaluation reveals that multi-clause reasoning poses a fundamental challenge for state-of-the-art models (34-57% base accuracy), while training on ACE yields substantial improvements on compliance tasks (+22-43% points) without degrading general legal reasoning performance. ACE provides the first systematic benchmark for multi-clause contract compliance reasoning.</t>
  </si>
  <si>
    <t>Ayush Singh; Dishank Aggarwal; PRANAV BHAGAT; Ainulla Khan; Sameer Malik; Amar Prakash Azad</t>
  </si>
  <si>
    <t>Pranav Bhagat</t>
  </si>
  <si>
    <t>1332-MAIN</t>
  </si>
  <si>
    <t>Surprisal and Metaphor Novelty Judgments: Moderate Correlations and Divergent Scaling Effects Revealed by Corpus-Based and Synthetic Datasets</t>
  </si>
  <si>
    <t>Novel metaphor comprehension involves complex semantic processes and linguistic creativity, making it an interesting task for studying large language models (LLMs). This study investigates whether surprisal, a probabilistic measure of predictability in LLMs, correlates with judgments of metaphor novelty. We analyse surprisal from 16 model variants on corpus-based and synthetic metaphor novelty datasets. We also explore a cloze-style surprisal method that conditions on full-sentence context. Results show that LLMs yield significant yet moderate correlations with judgments of novelty. We further identify divergent scaling patterns: on corpus-based data, correlation strength decreases with model size (inverse scaling effect), whereas on synthetic data it increases (QualityвЂ“Power Hypothesis). We conclude that while surprisal can partially account for judgments of metaphor novelty, it remains a limited metric of linguistic creativity.</t>
  </si>
  <si>
    <t>Omar Momen; Emilie Sitter; Berenike Herrmann; Sina ZarrieГџ</t>
  </si>
  <si>
    <t>Omar Momen</t>
  </si>
  <si>
    <t>1338-MAIN</t>
  </si>
  <si>
    <t>Statistical Foundations of DIME: Risk Estimation for Practical Index Selection</t>
  </si>
  <si>
    <t>High-dimensional dense embeddings have become central to modern Information Retrieval, but many dimensions are noisy or redundant. Recently proposed DIME (Dimension IMportance Estimation), provides query-dependent scores to identify informative components of embeddings. DIME relies on a costly grid search to select a priori a dimensionality for all the query corpusвЂ™s embeddings. Our work provides a statistically grounded criterion that directly identifies the optimal set of dimensions for each query at inference time. Experiments confirm that this approach improves retrieval effectiveness and reduces embedding size by an average $~50$% of across different models and datasets at inference time.</t>
  </si>
  <si>
    <t>Giulio D'Erasmo; Cesare Campagnano; Antonio Mallia; Pierpaolo Brutti; Nicola Tonellotto; Fabrizio Silvestri</t>
  </si>
  <si>
    <t>Giulio D'Erasmo</t>
  </si>
  <si>
    <t>1347-MAIN</t>
  </si>
  <si>
    <t>Do Psychometric Tests Work for Large Language Models? Evaluation of Tests on Sexism, Racism, and Morality</t>
  </si>
  <si>
    <t>Psychometric tests are increasingly used to assess psychological constructs in large language models (LLMs). However, it remains unclear whether these tests -- originally developed for humans -- yield meaningful results when applied to LLMs. In this study, we systematically evaluate the reliability and validity of human psychometric tests for three constructs: sexism, racism, and morality. We find moderate reliability across multiple item and prompt variations. Validity is evaluated through both convergent (i.e., testing theory-based inter-test correlations) and ecological approaches (i.e., testing the alignment between tests scores and behavior in real-world downstream tasks). Crucially, we find that psychometric test scores do not align, and in some cases even negatively correlate with, model behavior in downstream tasks, indicating low ecological validity. Our results highlight that systematic evaluations of psychometric tests are essential before interpreting their scores. They also suggest that psychometric tests designed for humans cannot be applied directly to LLMs without adaptation.</t>
  </si>
  <si>
    <t>Jana Jung; Marlene Lutz; Indira Sen; Markus Strohmaier</t>
  </si>
  <si>
    <t>Jana Jung</t>
  </si>
  <si>
    <t>1350-MAIN</t>
  </si>
  <si>
    <t>ReFACT: A Benchmark for Scientific Confabulation Detection with Positional Error Annotations</t>
  </si>
  <si>
    <t>Large Language Models (LLMs) frequently confabulate scientific facts, but the mechanisms underlying these failures remain poorly understood. We introduce **Reddit False And Correct Texts** (ReFACT), a benchmark of 1,001 expert-annotated question-answer pairs with **span-level error annotations**, enabling fine-grained analysis of confabulation detection, localization, and correction. Evaluating 9 state-of-the-art LLMs reveals two fundamental limitations. First, models exhibit a dominant **salient distractor** failure mode: 61% of incorrect span predictions are semantically unrelated to actual errors, indicating models fixate on contextually prominent terms rather than true error locations. This pattern persists across model scales (1B to 70B), suggesting scaling alone is insufficient to address this limitation. Second, **comparative judgment** (selecting which of two answers contains factual confabulations) proves fundamentally harder than **independent judgment** (classifying a single answer as confabulated or not). For example, even GPT-4o's Fв‚Ѓ score drops from 0.67 to 0.53 when comparing factual versus confabulated answers side-by-side. This dramatic performance degradation challenges the reliability of LLM-as-Judge paradigms widely adopted in current benchmarks. Code and data are released on [anonymized](https://storage.googleapis.com/dataset-refact/refact-dataset.jsonl).</t>
  </si>
  <si>
    <t>Yindong Wang; Martin PreiГџ; Margarita BugueГ±o; Jan Vincent Hoffbauer; Abdullatif Ghajar; Tolga Buz; Gerard de Melo</t>
  </si>
  <si>
    <t>Yindong Wang</t>
  </si>
  <si>
    <t>1352-MAIN</t>
  </si>
  <si>
    <t>Cosine Similarity as Logits?: A Scalable Knowledge Probe Using Embedding Vectors from Generative Language Models</t>
  </si>
  <si>
    <t>Recently, the use of pretrained language models (PLMs) as soft knowledge bases has gained growing interest, sparking the development of knowledge probes to evaluate their factual knowledge retrieval capabilities. However, existing knowledge probes for generative PLMs that support multi-token entities exhibit quadratic time complexity $\mathcal{O}(n^2)$, limiting the size of knowledge graphs used for probing. To address this, we propose DEcoder Embedding-based Relational (DEER) probe, utilizing embedding vectors extracted from generative PLMs. DEER probe achieves effective time complexity of linear order $\mathcal{O}(n)$, supports rank-based evaluation metrics including $\text{Hit@}k$, handles multi-token entity names and enables probing whilst disambiguation of homographic tail-enity names. We empirically show that DEER-probe correlates with existing knowledge probes, validating its probing capability, and we demonstrate the practical benefits of its improved scalability.</t>
  </si>
  <si>
    <t>Tomoyuki Jinno; Kazuki Hayashi; Yusuke Sakai; Hidetaka Kamigaito; Taro Watanabe</t>
  </si>
  <si>
    <t>Tomoyuki Jinno</t>
  </si>
  <si>
    <t>1359-MAIN</t>
  </si>
  <si>
    <t>Generating Multi-Aspect Queries for Conversational Search</t>
  </si>
  <si>
    <t>Conversational information seeking (CIS) systems aim to model the user's information need within the conversational context and retrieve the relevant information. One major approach to modeling the conversational context aims to rewrite the user utterance in the conversation to represent the information need independently. In this work, we hypothesize that breaking down the information of an utterance into multiple queries covering different aspects of the information need can lead to more effective retrieval performance. This is more evident in more complex utterances that require gathering evidence from various information sources, where a single query rewrite or query representation cannot capture the complexity of the utterance. We propose MQ4CS, a multi-aspect query generation and retrieval framework, which uses Large Language Models (LLMs) to break the user utterance into multiple queries. This approach improves retrieval performance, as most utterances benefit from more than one rewritten query. We evaluate MQ4CS on six widely used CIS datasets, showing it outperforms state-of-the-art query rewriting methods. Using MQ4CS, we also construct MASQ, which includes multiple-aspect queries for the six datasets. Fine-tuning the \llama model on MASQ yields significant improvements. We make our code and dataset publicly available.</t>
  </si>
  <si>
    <t>Zahra Abbasiantaeb; Simon Lupart; Mohammad Aliannejadi</t>
  </si>
  <si>
    <t>Zahra Abbasiantaeb</t>
  </si>
  <si>
    <t>1366-MAIN</t>
  </si>
  <si>
    <t>TimeMachine-bench: A Benchmark on Evaluating Model's Capability on Repository-level Migration Tasks</t>
  </si>
  <si>
    <t>With the advancement of automated software engineering, the main interest of research is shifting toward more real-world tasks that reflect the daily activities of software engineers. Despite its importance, software migration, a critical task of adapting code for newer environments, has been largely overlooked. In this work, we propose TimeMachine-bench, a benchmark centered on software migration tasks in real-world Python projects. Our benchmark consists of GitHub repositories whose tests begin to fail in response to dependency updates. The construction process is fully automated, enabling live updates of the benchmark. Furthermore, we curated a human-verified subset to guarantee the solvability of the problems. We evaluated the performance of agent-based baselines built on top of two state-of-the-art LLMs on the verified subset. Our results revealed that, while LLMs demonstrate a certain utility in migration tasks, they still face significant challenges, including spurious solutions in long-tail scenarios and unnecessary edits stemming from suboptimal tool-use strategies. We will release our dataset and implementation to accelerate further progress in this field.</t>
  </si>
  <si>
    <t>Ryo Fujii; Makoto Morishita; Kazuki Yano; Jun Suzuki</t>
  </si>
  <si>
    <t>Ryo Fujii</t>
  </si>
  <si>
    <t>1378-MAIN</t>
  </si>
  <si>
    <t>Tandem Training for Language Models</t>
  </si>
  <si>
    <t>As language models continue to rapidly improve, we can expect their actions and reasoning to become difficult or impossible for weaker agents and humans to follow, undermining interpretability and oversight. With an eye on long-term futures, we pursue methods that encourage models to produce solutions that remain intelligible to weaker collaborators. We formalize intelligibility as handoff robustness: a strong model's solution is intelligible to a weaker model if randomly handing off control to the weaker model along the solution path does not cause failure. Building on this criterion, we introduce tandem training for language models, a reinforcement learning (RL) paradigm in which rollout tokens are intermittently and randomly sampled from a frozen weak model rather than the strong model being trained. Because rollouts succeed only when the strong model's actions and reasoning process can be continued by the weak model---when the two can co-construct a successful solution---optimizing standard RL objectives with tandem training implicitly incentivizes both correctness and intelligibility. In the GSM8K math reasoning task, tandem training reliably teaches models to abandon jargon and adapt their language to weaker partners while keeping task accuracy high. Our results demonstrate a promising route to building AI systems that remain auditable by weaker agents, with implications for human--AI collaboration and multi-agent communication.</t>
  </si>
  <si>
    <t>Robert West; Ashton Anderson; Ece Kamar; Eric Horvitz</t>
  </si>
  <si>
    <t>Robert West</t>
  </si>
  <si>
    <t>1379-MAIN</t>
  </si>
  <si>
    <t>Can MLLM Find Their Way in a City? Exploring Emergent Navigation from Web-Scale Knowledge</t>
  </si>
  <si>
    <t>Leveraging multimodal large language models (MLLMs) to construct embodied agents represents a promising approach for addressing real-world tasks. However, current benchmarks predominantly focus on language-centric tasks or heavily rely on simulated environments, thereby restricting their capacity to evaluate performance in realistic settings. To bridge this gap, we introduce CityNav, a comprehensive benchmark encompassing four diverse global cities, explicitly designed to evaluate the decision-making capabilities of raw MLLM-driven agents in real-world navigation tasks. Specifically, agents must rely solely on visual observations and internal multimodal reasoning to sequentially execute a significant number of decisions (50+) without additional environmental annotations or specialized architectural enhancements. Extensive evaluation reveals that popular linguistic reasoning techniques (e.g., Chain-of-Thought, Self-Consistency, Reflection) fail to deliver substantial improvements in performance. To address this, we propose Verbalization of Path (VoP), a novel method that explicitly grounds the agent's internal multimodal reasoning through verbalized navigational paths, substantially enhancing navigation success. Nonetheless, overall performance in particularly challenging cities remains insufficient, underscoring the critical necessity for advanced reasoning frameworks and robust methods capable of handling complex, long-range sequential decision-making tasks. The code and dataset will be released on acceptance.</t>
  </si>
  <si>
    <t>Dwip Dalal; Utkarsh Mishra; Narendra Ahuja; Nebojsa Jojic</t>
  </si>
  <si>
    <t>Dwip Dalal</t>
  </si>
  <si>
    <t>1381-MAIN</t>
  </si>
  <si>
    <t>Wikontic: Constructing Wikidata-Aligned, Ontology-Aware Knowledge Graphs with Large Language Models</t>
  </si>
  <si>
    <t>Knowledge graphs (KGs) provide structured, verifiable grounding for large language models (LLMs), but current LLM-based systems commonly use KGs as auxiliary structures for text retrieval, leaving their intrinsic quality underexplored. In this work, we propose Wikontic, a multi-stage pipeline that constructs KGs from open-domain text by extracting candidate triplets with qualifiers, enforcing Wikidata-based type and relation constraints, and normalizing entities to reduce duplication. The resulting KGs are compact, ontology-consistent, and well-connected; on MuSiQue, the correct answer entity appears in 96% of generated triplets. On HotpotQA, our triplets-only setup achieves 76.0 F1, and on MuSiQue 59.8 F1, matching or surpassing several retrieval-augmented generation baselines that still require textual context. In addition, Wikontic attains state-of-the-art information-retention performance on the MINE-1 benchmark (86%), outperforming prior KG construction methods. Wikontic is also efficient at build time: KG construction uses less than 1,000 output tokens, about 3$\times$ fewer than AriGraph and $&lt;$1/20 of GraphRAG. The proposed pipeline enhances the quality of the generated KG and offers a scalable solution for leveraging structured knowledge in LLMs.</t>
  </si>
  <si>
    <t>Alla Chepurova; Aydar Bulatov; Mikhail Burtsev; Yuri Kuratov</t>
  </si>
  <si>
    <t>Alla Chepurova</t>
  </si>
  <si>
    <t>1385-MAIN</t>
  </si>
  <si>
    <t>CAIRE: Cultural Attribution of Images with Retrieval</t>
  </si>
  <si>
    <t>As text-to-image models become increasingly prevalent, ensuring their equitable performance across diverse cultural contexts is critical. Efforts to mitigate cross-cultural biases have been hampered by trade-offs, including a loss in performance, factual inaccuracies, or offensive outputs. Despite widespread recognition of these challenges, an inability to reliably measure these biases has stalled progress. To address this gap, we introduce CAIRE, a novel evaluation metric that assesses the degree of cultural relevance of an image, given a user-defined set of labels. Our framework grounds entities and concepts in the image to a knowledge-base and uses factual information to give independent graded judgments for each culture label. On a manually curated dataset of culturally salient but rare items built using language models, CAIRE surpasses all baselines by F1 points. Additionally, we construct two datasets for culturally universal concepts, one comprising of T2I generated outputs and another retrieved from naturally-occurring data. CAIRE achieves PearsonвЂ™s correlations of and with human ratings on these sets, based on a 5-point Likert scale of cultural relevance. This demonstrates its strong alignment with human judgment across diverse image sources. Our code is here: https://anonymous.4open.science/r/CAIRE-Anon-E204, and our tool will be open sourced upon publication.</t>
  </si>
  <si>
    <t>Arnav Yayavaram; Siddharth Yayavaram; Simran Khanuja; Michael Saxon; Graham Neubig</t>
  </si>
  <si>
    <t>Siddharth Yayavaram</t>
  </si>
  <si>
    <t>1395-MAIN</t>
  </si>
  <si>
    <t>What Does Infect Mean to Cardio? Investigating the Role of Clinical Specialty Data in Medical LLMs</t>
  </si>
  <si>
    <t>In this paper, we introduce S-MedQA, an English medical question-answering (QA) dataset for benchmarking large language models (LLMs) in fine-grained clinical specialties. S-MedQA has over 20k examples, covers 15 medical specialties, and QA pairs can have multiple specialty annotations (e.g., when a question is cross-disciplinary), constructed with both machine and expert verification to maximize data availability. We use S-MedQA to investigate the role of clinical specialty data in the knowledge-intensive scenario of medical QA. Our results show that 1) training on data from a clinical specialty does not necessarily lead to best performance on that specialty, and 2) regardless of the specialty the LLM was fine-tuned on, token probabilities of clinically relevant terms increase consistently across all specialties. Thus, we hypothesize improvement gains are derived mostly from domain shifting (e.g., general to medical) rather than specialty-specific knowledge injection, and suggest rethinking the role of fine-tuning data in the medical domain. To motivate further advancements in the clinical NLP field, we release S-MedQA and all code needed to reproduce all our experiments to the research community.</t>
  </si>
  <si>
    <t>Xinlan Yan; Di Wu; Yibin Lei; Christof Monz; Iacer Calixto</t>
  </si>
  <si>
    <t>Xinlan Yan</t>
  </si>
  <si>
    <t>1405-MAIN</t>
  </si>
  <si>
    <t>Redefining Retrieval Evaluation in the Era of LLMs</t>
  </si>
  <si>
    <t>Traditional Information Retrieval (IR) metrics, such as nDCG, MAP, and MRR, assume that human users sequentially examine documents with diminishing attention to lower ranks. This assumption breaks down in Retrieval Augmented Generation (RAG) systems, where search results are consumed by Large Language Models (LLMs), which, unlike humans, process all retrieved documents as a whole rather than sequentially. Additionally, traditional IR metrics do not account for related but irrelevant documents that actively degrade generation quality, rather than merely being ignored. Due to these two major misalignments, namely human vs. machine position discount and human relevance vs. machine utility, classical IR metrics do not accurately predict RAG performance. We introduce a utility-based annotation schema that quantifies both the positive contribution of relevant passages and the negative impact of distracting ones. Building on this foundation, we propose UDCG (Utility and Distraction-aware Cumulative Gain), a metric using an LLM-oriented positional discount to directly optimize the correlation with the end-to-end answer accuracy. Experiments on five datasets and six LLMs demonstrate that UDCG improves correlation by up to 36\% compared to traditional metrics. Our work provides a critical step toward aligning IR evaluation with LLM consumers and enables more reliable assessment of RAG components.</t>
  </si>
  <si>
    <t>Giovanni Trappolini; Florin Cuconasu; Simone Filice; Yoelle Maarek; Fabrizio Silvestri</t>
  </si>
  <si>
    <t>Giovanni Trappolini</t>
  </si>
  <si>
    <t>62-FIND</t>
  </si>
  <si>
    <t>Plane Geometry Problem Solving with Multi-modal Reasoning: A Survey</t>
  </si>
  <si>
    <t>Plane geometry problem solving (PGPS) has recently gained significant attention as a benchmark to assess the multi-modal reasoning capabilities of large vision-language models. Despite the growing interest in PGPS, the research community still lacks a comprehensive overview that systematically synthesizes recent work in PGPS. To fill this gap, we present a survey of existing PGPS studies. We first categorize PGPS methods into an encoder-decoder framework and summarize the corresponding output formats used by their encoders and decoders. Subsequently, we classify and analyze these encoders and decoders according to their architectural designs. Finally, we outline major challenges and promising directions for future research. In particular, we discuss the hallucination issues arising during the encoding phase within encoder-decoder architectures, as well as the problem of data leakage in current PGPS benchmarks.</t>
  </si>
  <si>
    <t>Seunghyuk Cho; Zhenyue Qin; Yang Liu; Youngbin Choi; Seungbeom Lee; Dongwoo Kim</t>
  </si>
  <si>
    <t>Seunghyuk Cho</t>
  </si>
  <si>
    <t>64-FIND</t>
  </si>
  <si>
    <t>Position Paper: How Should We Responsibly Adopt LLMs in the Peer Review Process?</t>
  </si>
  <si>
    <t>This position paper presents a novel perspective on the utilization of Large Language Models (LLMs) in the artificial intelligence paper review process. We first critique the current tendency for LLMs to be primarily used for simple review text generation, arguing instead that this approach overlooks more meaningful applications of LLMs that preserve human expertise at the core of evaluation. Instead, we advocate for leveraging LLMs to support key aspects of the review processвЂ”specifically, verifying the reproducibility of experimental results, checking the correctness and relevance of citations, and assisting with ethics review flagging. For example, integrating tools based on LLM Agents for code generation from research papers has recently enabled automated assessment of the reproducibility of the paper, thereby improving the transparency and reliability of research. By reorienting LLM usage toward these targeted and assistive roles, we outline a pathway for more effective and responsible integration of LLMs into peer review, ultimately supporting both reviewer efficiency and the integrity of the scientific process.</t>
  </si>
  <si>
    <t>Juhwan Choi; JungMin Yun; Changhun Kim; YoungBin Kim</t>
  </si>
  <si>
    <t>Juhwan Choi</t>
  </si>
  <si>
    <t>65-FIND</t>
  </si>
  <si>
    <t>Rad-Flamingo: A Multimodal Prompt driven Radiology Report Generation Framework with Patient-Centric Explanations</t>
  </si>
  <si>
    <t>In modern healthcare, radiology plays a pivotal role in diagnosing and managing diseases. However, the complexity of medical imaging data and the variability in interpretation can lead to inconsistencies and a lack of patient-centered insight in radiology reports. To address this challenge, a novel multimodal prompt-driven report generation framework Rad-Flamingo was developed, that integrates diverse data modalitiesвЂ”such as medical images, and clinical notesвЂ”to produce comprehensive and context-aware radiology reports. Our framework leverages innovative prompt engineering techniques to guide vision-language models in generating relevant information, ensuring these generated reports are not only accurate but also understandable to individual patients. A key feature of our framework is its ability to provide patient-centric explanations, offering clear and personalized insights into diagnostic findings and their implications. Additionally, we also demonstrate a synthetic data generation pipeline, to append any existing benchmark datasets' findings and impressions with patient-centric explanation. Experimental results demonstrate that this framework's effectiveness in enhancing report quality, improving understandability, and could foster better patient-doctor communication. This approach represents a significant step towards human-centered medical AI systems.</t>
  </si>
  <si>
    <t>Md. Tousin Akhter; Devansh Lalwani; Kshitij Sharad Jadhav; Pushpak Bhattacharyya</t>
  </si>
  <si>
    <t>MD TOUSIN AKHTER</t>
  </si>
  <si>
    <t>84-FIND</t>
  </si>
  <si>
    <t>Mitigating Copy Bias in In-Context Learning through Neuron Pruning</t>
  </si>
  <si>
    <t>Large language models (LLMs) have demonstrated impressive few-shot in-context learning (ICL) abilities. Still, we show that they are sometimes prone to a `copying bias', where they copy answers from provided examples instead of learning the underlying patterns. In this work, we propose a novel and simple method to mitigate such copying bias. First, we create a synthetic task and use the Integrated Gradients method to identify neurons that prioritize copying over generalization. We demonstrate that pruning these neurons consistently improves performance across a diverse set of ICL tasks, including both single-token and multi-token scenarios, while maintaining or even improving the model's general capabilities. We also show that our method is applicable across various LLM architectures, including Transformers and State-Space Models, without requiring modifications. In our analysis, we adopt a task-recognition perspective on ICL and examine task vectors (Hendel et al., 2023) induced by the model. We find that pruning enhances the quality of these vectors, suggesting that the pruned neurons previously hindered effective task recognition.</t>
  </si>
  <si>
    <t>Ameen Ali Ali; Lior Wolf; Ivan Titov</t>
  </si>
  <si>
    <t>ameen ali</t>
  </si>
  <si>
    <t>107-FIND</t>
  </si>
  <si>
    <t>The Mediomatix Corpus: Parallel Data for Romansh Idioms via Comparable Schoolbooks</t>
  </si>
  <si>
    <t>The five idioms (i.e., varieties) of the Romansh language are largely standardized and are taught in the schools of the respective communities in Switzerland. In this paper, we present the first parallel corpus of Romansh idioms. The corpus is based on 291 schoolbook volumes, which are comparable in content for the five idioms. We use automatic alignment methods to extract 207k multi-parallel segments from the books, with more than 2M tokens in total. A small-scale human evaluation confirms that the segments are highly parallel, making the dataset suitable for NLP applications such as machine translation between Romansh idioms. We release the dataset under a CC-BY-NC-SA license and demonstrate its utility for machine translation by training and evaluating an LLM on a sample of the dataset.</t>
  </si>
  <si>
    <t>Zachary William Hopton; Jannis Vamvas; Andrin BГјchler; Anna Rutkiewicz; Rico Cathomas; Rico Sennrich</t>
  </si>
  <si>
    <t>Zachary William Hopton</t>
  </si>
  <si>
    <t>109-FIND</t>
  </si>
  <si>
    <t>JEEM: Vision-Language Understanding in Four Arabic Dialects</t>
  </si>
  <si>
    <t>We introduce JEEM, a benchmark designed to evaluate Vision-Language Models (VLMs) on visual understanding across four Arabic-speaking countries: Jordan, The Emirates, Egypt, and Morocco. JEEM includes the tasks of image captioning and visual question answering, and features culturally rich and regionally diverse content. This dataset aims to assess the ability of VLMs to generalize across dialects and accurately interpret cultural elements in visual contexts. In an evaluation of five prominent open-source Arabic VLMs and GPT-4o, we find that the Arabic VLMs consistently underperform, struggling with both visual understanding and dialect-specific generation. While GPT-4o ranks best in this comparison, the modelвЂ™s linguistic competence varies across dialects, and its visual understanding capabilities lag behind. This underscores the need for more inclusive models and the value of culturally-diverse evaluation paradigms.</t>
  </si>
  <si>
    <t>Karima Kadaoui; Hanin atwany; Hamdan Al-Ali; Abdelrahman Mohamed; Ali Mekky; Sergei Tilga; Natalia Fedorova; Ekaterina Artemova; Hanan Aldarmaki; Yova Kementchedjhieva</t>
  </si>
  <si>
    <t>Karima Kadaoui</t>
  </si>
  <si>
    <t>113-FIND</t>
  </si>
  <si>
    <t>Detecting Primary Progressive Aphasia (PPA) from Text: A Benchmarking Study</t>
  </si>
  <si>
    <t>Classifying subtypes of primary progressive aphasia (PPA) from connected speech presents significant diagnostic challenges due to overlapping linguistic markers. This study benchmarks the performance of traditional machine learning models with various feature extraction techniques, transformer-based models, and large language models (LLMs) for PPA classification. Our results indicate that while transformer-based models and LLMs exceed chance-level performance in terms of balanced accuracy, traditional classifiers combined with contextual embeddings remain highly competitive. Notably, MLP using MentalBertвЂ™s embeddings achieves the highest accuracy. These findings underscore the potential of machine learning for enhancing the automatic classification of PPA subtypes.</t>
  </si>
  <si>
    <t>Ghofrane Merhbene; Fabian Lecron; Philippe Fortemps; Bradford C. Dickerson; Mascha Kurpicz-Briki; Neguine Rezaii</t>
  </si>
  <si>
    <t>Ghofrane Merhbene</t>
  </si>
  <si>
    <t>126-FIND</t>
  </si>
  <si>
    <t>Do Diacritics Matter? Evaluating the Impact of Arabic Diacritics on Tokenization and LLM Benchmarks</t>
  </si>
  <si>
    <t>Diacritics are orthographic marks added to letters to specify pronunciation, disambiguate lexical meanings, or indicate grammatical distinctions. Diacritics can significantly influence language processing tasks, especially in languages like Arabic, where diacritic usage varies widely across domains and contexts. While diacritics provide valuable linguistic information, their presence can increase subword fragmentation during tokenization, potentially degrading the performance of NLP models. In this paper, we systematically analyze the impact of diacritics on tokenization and benchmark task performance across major Large Language Models (LLMs). Our results demonstrate that while modern LLMs show robustness to the limited diacritics naturally found in texts, full diacritization leads to substantially increased token fragmentation and degraded performance, highlighting the need for careful handling of diacritics in the future development of Arabic LLMs.</t>
  </si>
  <si>
    <t>Go Inoue; Bashar Alhafni; Nizar Habash; Timothy Baldwin</t>
  </si>
  <si>
    <t>Go Inoue</t>
  </si>
  <si>
    <t>133-FIND</t>
  </si>
  <si>
    <t>Persona-driven Simulation of Voting Behavior in the European Parliament with Large Language Models</t>
  </si>
  <si>
    <t>Large Language Models (LLMs) display remarkable capabilities to understand or even produce political discourse, but have been found to consistently display a progressive left-leaning bias. At the same time, so-called persona or identity prompts have been shown to produce LLM behavior that aligns with socioeconomic groups that the base model is not aligned with. In this work, we analyze whether zero-shot persona prompting with limited information can accurately predict individual voting decisions and, by aggregation, accurately predict positions of European groups on a diverse set of policies. We evaluate if predictions are stable towards counterfactual arguments, different persona prompts and generation methods. Finally, we find that we can simulate voting behavior of Members of the European Parliament reasonably well with a weighted F1 score of approximately 0.793. Our persona dataset of politicians in the 2024 European Parliament and our code are available at https://anonymous.4open.science/r/european_parliament_simulation-7285.</t>
  </si>
  <si>
    <t>Maximilian Kreutner; Marlene Lutz; Markus Strohmaier</t>
  </si>
  <si>
    <t>Maximilian Kreutner</t>
  </si>
  <si>
    <t>147-FIND</t>
  </si>
  <si>
    <t>The Price of Thought: A Multilingual Analysis of Reasoning, Performance, and Cost of Negotiation in Large Language Models</t>
  </si>
  <si>
    <t>Negotiation is a fundamental challenge for AI agents, as it requires an ability to reason strategically, model opponents, and balance cooperation with competition. We conduct the first comprehensive study systematically evaluating the effect of (LLM-)reasoning on the negotiation abilities of both commercial and open-weight LLMs, and do this across three languages. Using a self-play setup across three diverse dialogue games, we analyse trade-offs between performance and cost, the language consistency of reasoning processes, and the nature of strategic adaptation exhibited by models. Our findings show that enabling reasoning - that is, scaling test time compute -significantly improves negotiation outcomes by enhancing collaboration and helping models overcome task complexities, but comes at a substantial computational cost: reasoning improves GPT-5's performance by 31.4 % while increasing its cost by nearly 400 %. Most critically, we uncover a significant multilingual reasoning distinction: open-weight models consistently switch to English for their internal reasoning steps, even when negotiating in German or Italian (and thus possibly impacting potential explainability gains through the disclosure of reasoning traces), while leading commercial models maintain language consistency between their reasoning and final output.</t>
  </si>
  <si>
    <t>Sherzod Hakimov; Roland Bernard; Tim Leiber; Karl Osswald; Kristina Richert; Ruilin Yang; Raffaella Bernardi; David Schlangen</t>
  </si>
  <si>
    <t>Sherzod Hakimov</t>
  </si>
  <si>
    <t>148-FIND</t>
  </si>
  <si>
    <t>ART: Adaptive Reasoning Trees for Explainable Claim Verification</t>
  </si>
  <si>
    <t>Large Language Models (LLMs) are powerful candidates for complex decision-making, leveraging vast encoded knowledge and remarkable zero-shot abilities. However, their adoption in high-stakes environments is hindered by their opacity; their outputs lack faithful explanations and cannot be effectively contested to correct errors, undermining trustworthiness. In this paper, we propose ART (Adaptive Reasoning Trees), a hierarchical method for claim verification. The process begins with a root claim, which branches into supporting and attacking child arguments. An argument's strength is determined bottom-up via a pairwise tournament of its children, adjudicated by a judge LLM, allowing a final, transparent and contestable verdict to be systematically derived which is missing in methods like Chain-of-Thought (CoT). We empirically validate ART on multiple datasets, analyzing different argument generators and comparison strategies. Our findings show that ART's structured reasoning outperforms strong baselines, establishing a new benchmark for explainable claim verification which is more reliable and ensures clarity in the overall decision making step.</t>
  </si>
  <si>
    <t>Sahil Wadhwa; Himanshu Kumar; Guanqun Yang; Abbaas Alif Mohamed Nishar; Pranab Mohanty; Swapnil Shinde; Yue Wu</t>
  </si>
  <si>
    <t>Sahil Wadhwa</t>
  </si>
  <si>
    <t>157-FIND</t>
  </si>
  <si>
    <t>VisDoT : Enhancing Visual Reasoning through Human-Like Interpretation Grounding and Decomposition of Thought</t>
  </si>
  <si>
    <t>Large vision-language models (LVLMs) struggle to reliably detect visual primitives in charts and align them with semantic representations, which severely limits their performance on complex visual reasoning. This lack of perceptual grounding constitutes a major bottleneck for chart-based reasoning. We propose VisDoT, a framework that enhances visual reasoning through human-like interpretation grounding. We formalize four perceptual tasks based on the theory of graphical perception such as position and length. Building on this foundation, we introduce decomposition-of-thought (DoT) prompting, which sequentially separates questions into visual perception sub-questions and logic sub-questions. Fine-tuning InternVL with VisDoT achieves a +11.2\% improvement on ChartQA and surpasses GPTвЂ‘4o on the more challenging ChartQAPro benchmark. On the newly introduced VisDoTQA benchmark, the model improves by +33.2\%. Furthermore, consistent zero-shot gains on diverse open-domain VQA benchmarks confirm the generalizability of the perception-logic separation strategy for visual question answering in general. VisDoT leverages human-like perception to enhance visual grounding, achieving state-of-the-art chart understanding and interpretable visual reasoning.</t>
  </si>
  <si>
    <t>Eunsoo Lee; Jeongwoo Lee; Minki Hong; Jangho Choi; Jihie Kim</t>
  </si>
  <si>
    <t>Eunsoo Lee</t>
  </si>
  <si>
    <t>162-FIND</t>
  </si>
  <si>
    <t>HiKE: Hierarchical Evaluation Framework for Korean-English Code-Switching Speech Recognition</t>
  </si>
  <si>
    <t>Despite advances in multilingual automatic speech recognition (ASR), code-switching (CS), the mixing of languages within an utterance common in daily speech, remains a severely underexplored challenge. In this paper, we introduce HiKE: the Hierarchical Korean-English code-switching benchmark, the first globally accessible evaluation framework for Korean-English CS, aiming to provide a means for the precise evaluation of multilingual ASR models and to foster research in the field. The proposed framework not only consists of high-quality, natural CS data across various topics, but also provides meticulous loanword labels and a hierarchical CS-level labeling scheme (word, phrase, and sentence) that together enable a systematic evaluation of a model's ability to handle each distinct level of code-switching. Through evaluations of diverse multilingual ASR models and fine-tuning experiments, this paper demonstrates that while most multilingual ASR models initially struggle with CS-ASR, this capability can be enabled through fine-tuning with both natural and synthetic CS data.</t>
  </si>
  <si>
    <t>Gio Paik; Yongbeom Kim; Soungmin Lee; Sangmin Ahn; Chan Woo Kim</t>
  </si>
  <si>
    <t>Gio Paik</t>
  </si>
  <si>
    <t>165-FIND</t>
  </si>
  <si>
    <t>Complexity-aware fine-tuning</t>
  </si>
  <si>
    <t>General-purpose Large Language Models (LLMs) are frequently fine-tuned through supervised fine-tuning (SFT) to enhance performance in specific domains. Better results can be achieved by distilling the chain-of-thought of a larger model at the cost of numerous expensive calls and a much greater amount of data. We propose a novel blueprint for efficient fine-tuning that uses reasoning only for complex data identified by entropy. Specifically, across two small open models ($\approx 3B$) we split the training data into complexity categories by a single token answer entropy (ROC AUC $0.73$), fine-tune large language models (LLMs) via SFT and distillation, and show that our pipeline significantly outperforms the standard SFT approach ($0.58$ vs $0.45$ average accuracy) and outperforms the distillation approach ($0.58$ vs $0.56$ average accuracy) while using $81\%$ less data. We publish our code and data to facilitate further research in this direction.</t>
  </si>
  <si>
    <t>Andrey Goncharov; Daniil Vyazhev; Petr Sychev; Edvard Khalafyan; Alexey Zaytsev</t>
  </si>
  <si>
    <t>Andrey Goncharov</t>
  </si>
  <si>
    <t>168-FIND</t>
  </si>
  <si>
    <t>Multilingual Retrieval-Augmented Generation for Knowledge-Intensive Question Answering Task</t>
  </si>
  <si>
    <t>Retrieval-augmented generation (RAG) has become a cornerstone of contemporary NLP, enhancing large language models (LLMs) by allowing them to access richer factual contexts through in-context retrieval. While effective in monolingual settings, especially in English, its use in multilingual tasks remains unexplored. This paper investigates the effectiveness of RAG across multiple languages by proposing novel approaches for multilingual open-domain question-answering. We evaluate the performance of various multilingual RAG strategies, including question-translation (tRAG), which translates questions into English before retrieval, and Multilingual RAG (MultiRAG), where retrieval occurs directly across multiple languages. Our findings reveal that tRAG, while useful, suffers from limited coverage. In contrast, MultiRAG improves efficiency by enabling multilingual retrieval but introduces inconsistencies due to cross-lingual variations in the retrieved content. To address these issues, we propose Crosslingual RAG (CrossRAG), a method that translates retrieved documents into a common language (e.g., English) before generating the response. Our experiments show that CrossRAG significantly enhances performance on knowledge-intensive tasks, benefiting both high-resource and low-resource languages</t>
  </si>
  <si>
    <t>178-FIND</t>
  </si>
  <si>
    <t>How Important is вЂ�PerfectвЂ™ English for Machine Translation Prompts?</t>
  </si>
  <si>
    <t>Large language models (LLMs) achieve state-of-the-art performance in machine translation, but are also known to be sensitive to errors in user prompts. Given these models are largely trained on and respond best to prompts in standard English, this may affect the quality of LLM outputs for second language English speakers as well as real-world lay users, with potentially disproportionate effects on the former. We explore this effect by modeling a range of error types exhibited by such users, motivated by studies of L2 English, and quantifying their impact on LLM performance. We work with two related tasks: machine translation and machine translation evaluation. We find that LLMs-as-MT are brittle to natural spelling errors but not to errors at the phrasal level. However, the variance in quality caused by these errors is lower than the variance over the initial prompt choice, suggesting that ``perfect English'' for a given prompt is less important than choosing a good prompt. Since lay users and L2 speakers may use non-optimal prompts as well as display imperfect language skills, our work calls for increasing the resilience of model performance to both these phenomena to best serve a diverse user base, both from a robustness and fairness perspective.</t>
  </si>
  <si>
    <t>PatrГ­cia SchmidtovГЎ; Niyati Bafna; Seth Aycock; Gianluca Vico; Wiktor Kamzela; Kathy HГ¤mmerl; VilГ©m Zouhar</t>
  </si>
  <si>
    <t>Patricia Schmidtova</t>
  </si>
  <si>
    <t>183-FIND</t>
  </si>
  <si>
    <t>$K$ETCHUP: $K$-Step Return Estimation for Sequential Knowledge Distillation</t>
  </si>
  <si>
    <t>We propose a novel $K$-step return estimation method (called $K$ETCHUP) for Reinforcement Learning (RL)-based knowledge distillation (KD) in text generation tasks. Our idea is to induce a $K$-step return by using the Bellman Optimality Equation for multiple steps. Theoretical analysis shows that this $K$-step formulation reduces the variance of the gradient estimates, thus leading to improved RL optimization, especially when the student model size is large. Empirical evaluation on three text generation tasks demonstrates that our approach yields superior performance in both standard task metrics and large language model (LLM)-based evaluation. These results suggest that our $K$-step return induction offers a promising direction for enhancing RL-based KD in LLM research.</t>
  </si>
  <si>
    <t>Jiabin Fan; Guoqing Luo; Michael Bowling; Lili Mou</t>
  </si>
  <si>
    <t>Jiabin Fan</t>
  </si>
  <si>
    <t>191-FIND</t>
  </si>
  <si>
    <t>Shifting Perspectives: Steering Vectors for Robust Bias Mitigation in LLMs</t>
  </si>
  <si>
    <t>We present a novel approach to bias mitigation in large language models (LLMs) by applying steering vectors to modify model activations in forward passes. We compute 8 steering vectors, each corresponding to a different social bias axis, such as age, gender, or race, on a training subset of the BBQ dataset and compare the effectiveness of these to 3 additional bias mitigation methods across 4 datasets. When optimized on the BBQ dataset, our individually tuned steering vectors achieve average improvements of 12.8% on BBQ, 8.3% on CLEAR-Bias, and 1% on StereoSet, and show improvements over prompting and Self-Debias in all cases, and improvements over fine-tuning in 12 out of 17 evaluations. In addition, steering vectors showed the lowest impact on MMLU scores of the four bias mitigation methods tested. The work presents the first systematic investigation of steering vectors for bias mitigation, and we demonstrate that they are a powerful and computationally efficient strategy for reducing bias in LLMs, with broader implications for enhancing AI safety.</t>
  </si>
  <si>
    <t>Zara Siddique; Irtaza Khalid; Liam Turner; Luis Espinosa-Anke</t>
  </si>
  <si>
    <t>Zara Siddique</t>
  </si>
  <si>
    <t>203-FIND</t>
  </si>
  <si>
    <t>DebateQA: Evaluating Question Answering on Debatable Knowledge</t>
  </si>
  <si>
    <t>The rise of large language models (LLMs) has enabled us to seek answers to inherently debatable questions on LLM chatbots, necessitating a reliable way to evaluate their ability. However, traditional QA benchmarks assume fixed answers are inadequate for this purpose. To address this, we introduce DebateQA, a dataset of 2,941 debatable questions, each accompanied by multiple human-annotated partial answers that capture a variety of perspectives. We develop two metrics: Perspective Diversity, which evaluates the comprehensiveness of perspectives, and Dispute Awareness, which assesses if the LLM acknowledges the question's debatable nature. Experiments demonstrate that both metrics are aligned with human preferences and stable across different underlying models. Using DebateQA with two metrics, we assess 12 prevalent LLMs and retrieval-augmented generation methods. Our findings reveal that while LLMs generally excel at recognizing debatable issues, their ability to provide comprehensive answers encompassing diverse perspectives varies considerably.</t>
  </si>
  <si>
    <t>Rongwu Xu; Xuan Qi; Zehan Qi; Wei Xu; Zhijiang Guo</t>
  </si>
  <si>
    <t>Xuan Qi</t>
  </si>
  <si>
    <t>214-FIND</t>
  </si>
  <si>
    <t>Personal Information Parroting in Language Models</t>
  </si>
  <si>
    <t>Modern language models are trained on large scrapes of the Web, containing millions of personal information (PI) instances, many of which language models (LMs) memorize, increasing privacy risks. In this work, we develop the regexes and rules (R&amp;R) detector suite to detect email addresses, phone numbers, and IP addresses, which outperforms the best regex-based PI detectors. On a manually curated set of 483 instances of PI, we measure memorization and parroting: finding that 13.6% are parroted verbatim by the Pythia-6.9b model, i.e. when the model is prompted with the tokens that precede the PI in the original document, greedy decoding generates the entire PI span exactly. We expand this analysis to study models of varying sizes (160M-6.9B) and timesteps of pretraining (70k-143k iterations) on the Pythia model suite and find that both model size and amount of pretraining are positively correlated with memorization. Even the smallest model, Pythia-160m, parrots 2.7% of the instances exactly. Consequently, we strongly recommend that pretraining datasets be aggressively filtered and anonymized to minimize PI parroting.</t>
  </si>
  <si>
    <t>Nishant Subramani; Kshitish Ghate; Mona T. Diab</t>
  </si>
  <si>
    <t>Nishant Subramani</t>
  </si>
  <si>
    <t>220-FIND</t>
  </si>
  <si>
    <t>Harmful Factuality: LLMs Correcting What They Shouldn't</t>
  </si>
  <si>
    <t>Large Language Models (LLMs) often automatically revise facts in provided content to align with their internal knowledge, a behavior that, while aiming for factual accuracy, can detrimentally override source material. This paper systematically investigates and formally defines this critical issue as Harmful Factuality Hallucination, where LLMs unexpectedly correct perceived inaccuracies in the input, prioritizing global factual correctness over essential source fidelity. Moving beyond anecdotal evidence, we introduce a robust framework to induce and quantify Harmful Factuality by applying controlled soft (Gaussian Embedding Perturbation) and hard (LLM-Instructed Entity Replacement) entity perturbations. We evaluate a diverse set of open-source (e.g., Llama series) and commercial (e.g., GPT-4o) LLMs of varying scales across abstractive summarization, rephrasing, and context-grounded question-answering tasks. Our experiments reveal that Harmful Factuality is prevalent, with its incidence significantly influenced by model scale (larger models often exhibit higher rates), perturbation type, entity position within the source, and task characteristics. Furthermore, through analysis of Dual Presence outputs, we identify and categorize three core behavioral mechanisms that underlie this phenomenon. Importantly, we also demonstrate that a simple instructional defense prompt can substantially mitigate Harmful Factuality, reducing it by approximately 50% in several leading models. This research provides a foundational methodology and crucial insights for evaluating and alleviating source-conflicting behaviors, thereby supporting the development of more reliable and source-faithful LLM systems.</t>
  </si>
  <si>
    <t>Mingchen Li; Hanzhi Zhang; Heng Fan; Junhua Ding; Yunhe Feng</t>
  </si>
  <si>
    <t>Junhua Ding</t>
  </si>
  <si>
    <t>228-FIND</t>
  </si>
  <si>
    <t>Toward Beginner-Friendly LLMs for Language Learning: Controlling Difficulty in Conversation</t>
  </si>
  <si>
    <t>Practicing conversations with large language models (LLMs) presents a promising alternative to traditional in-person language learning. However, most LLMs generate text at a near-native level of complexity, making them ill-suited for beginner learners (CEFR: A1вЂ“A2). In this paper, we investigate whether controllable generation techniques can adapt LLM outputs to better support absolute beginners. We evaluate these methods through both automatic metrics and a user study with university-level learners of Japanese. Our findings show that while prompting alone fails, controllable generation techniques can successfully improve output comprehensibility for beginner speakers (from 40.4% to 84.3%). We further introduce a new token-level evaluation metric, Token Miss Rate (TMR), that quantifies the proportion of incomprehensible tokens per utterance and correlates strongly with human judgments. To support future research in AI-assisted language learning, we release our code, models, annotation tools, and dataset.</t>
  </si>
  <si>
    <t>Meiqing Jin; Liam Dugan; Chris Callison-Burch</t>
  </si>
  <si>
    <t>Liam Dugan</t>
  </si>
  <si>
    <t>240-FIND</t>
  </si>
  <si>
    <t>ATOM: AdapTive and OptiMized dynamic temporal knowledge graph construction using LLMs</t>
  </si>
  <si>
    <t>In todayвЂ™s rapidly expanding data landscape, knowledge extraction from unstructured text is vital for real-time analytics, temporal inference, and dynamic memory frameworks. However, traditional static knowledge graph (KG) construction often overlooks the dynamic and time-sensitive nature of real-world data, limiting adaptability to continuous changes. Moreover, recent zero- or few-shot approaches that avoid domain-specific fine-tuning or reliance on prebuilt ontologies often suffer from instability across multiple runs, as well as incomplete coverage of key facts. To address these challenges, we introduce ATOM (AdapTive and OptiMized), a few-shot and scalable approach that builds and continuously updates Temporal Knowledge Graphs (TKGs) from unstructured texts. ATOM splits input documents into minimal, self-contained вЂњatomicвЂќ facts, improving extraction exhaustivity and stability. From these atomic facts, atomic KGs are derived and then merged in parallel. Empirical evaluations demonstrate that ATOM maintains high exhaustivity, achieves stability across multiple runs, and outperforms baseline methods while ensuring low latency and high scalability for large-scale deployments.</t>
  </si>
  <si>
    <t>Yassir Lairgi; Ludovic Moncla; Khalid Benabdeslem; RГ©my Cazabet; Pierre ClГ©au</t>
  </si>
  <si>
    <t>Yassir Lairgi</t>
  </si>
  <si>
    <t>244-FIND</t>
  </si>
  <si>
    <t>On the Interplay between Human Label Variation and Model Fairness</t>
  </si>
  <si>
    <t>The impact of human label variation (HLV) on model fairness is an unexplored topic. This paper examines the interplay by comparing training on majority-vote labels with a range of HLV methods. Our experiments show that without explicit debiasing, HLV training methods have a positive impact on fairness.</t>
  </si>
  <si>
    <t>Kemal Kurniawan; Meladel Mistica; Timothy Baldwin; Jey Han Lau</t>
  </si>
  <si>
    <t>246-FIND</t>
  </si>
  <si>
    <t>Where do LLMs currently stand on biomedical NER in both clean and noisy settings ?</t>
  </si>
  <si>
    <t>Biomedical Named Entity Recognition (NER) consists of identifying and classifying important biomedical entities mentioned in text. Traditionally, biomedical NER has heavily relied on domain-specific pre-trained language models; particularly variant of BERT models. With the emergence of large language models (LLMs), some studies have evaluated their performance on biomedical NLP tasks. These studies consistently show that, despite their general capabilities, LLMs still fall short compared to specialized BERT-based models for biomedical NER. However, as LLMs continue to advance at a remarkable pace, natural questions arise: Are they still far behind, or are they starting to be competitive? In this study, we investigate the performance of recent LLMs across multiple biomedical NER datasets under both clean and noisy dataset conditions. Our findings reveal that LLMs are progressively closing the performance gap with BERT-based models and demonstrate particular strengths in low-data settings. Moreover, our results suggest that in-context learning with LLMs exhibits a notable degree of robustness to noise, making them a promising alternative in settings where labeled data is scarce or noisy.</t>
  </si>
  <si>
    <t>Christophe Ye; Cassie S. Mitchell</t>
  </si>
  <si>
    <t>Christophe Ye</t>
  </si>
  <si>
    <t>249-FIND</t>
  </si>
  <si>
    <t>Scaling Data-Constrained Language Models with Synthetic Data</t>
  </si>
  <si>
    <t>Large language models (LLMs) improve with more training data, but practical limits on data collection increasingly constrain further scaling. Advances in instruction-following LLMs have enabled controlled, high-quality text generation, making synthetic data a promising remedy. However, its effectiveness for pre-training non-English LLMs remains underexplored. We study this question for Japanese in a fixed token budget setting in which organic Japanese Web text constitutes only a small share, while far more organic English Web text and instruction-following LLMs capable of generating fluent Japanese are available. We compare three strategies to fill the data shortfall: generating synthetic Japanese text, repeating the limited Japanese Web text, and using English Web text. Experiments show that synthetic Japanese corpora outperform both baselines and approach the performance achieved when the entire token budget is filled with additional organic Japanese Web text.</t>
  </si>
  <si>
    <t>Hirokazu Kiyomaru; Yusuke Oda; Takashi Kodama; Chaoran Liu; Daisuke Kawahara</t>
  </si>
  <si>
    <t>Hirokazu Kiyomaru</t>
  </si>
  <si>
    <t>251-FIND</t>
  </si>
  <si>
    <t>The Unintended Trade-off of AI Alignment: Balancing Hallucination Mitigation and Safety in LLMs</t>
  </si>
  <si>
    <t>Hallucination in large language models (LLMs) has been widely studied in recent years, with progress in both detection and mitigation aimed at improving truthfulness. Yet, a critical side effect remains largely overlooked: enhancing truthfulness can negatively impact safety alignment. In this paper, we investigate this trade-off and show that increasing factual accuracy often comes at the cost of weakened refusal behavior. Our analysis reveals that this arises from overlapping components in the model that simultaneously encode hallucination and refusal information, leading alignment methods to suppress factual knowledge unintentionally. We further examine how fine-tuning on benign datasets, even when curated for safety, can degrade alignment for the same reason. To address this, we propose a method that disentangles refusal-related features from hallucination features using sparse autoencoders, and preserves refusal behavior during fine-tuning through subspace orthogonalization. This approach prevents hallucinations from increasing while maintaining safety alignment.We evaluate our method on commonsense reasoning tasks and harmful benchmarks (AdvBench and StrongReject). Results demonstrate that our approach preserves refusal behavior and task utility, mitigating the trade-off between truthfulness and safety.</t>
  </si>
  <si>
    <t>Omar Mahmoud; Ali Khalil; Thommen George Karimpanal; Buddhika Laknath Semage; Santu Rana</t>
  </si>
  <si>
    <t>Omar Mohamed Ahmed Mahmoud</t>
  </si>
  <si>
    <t>252-FIND</t>
  </si>
  <si>
    <t>The ModelвЂ™s Language Matters: A Comparative Privacy Analysis of LLMs</t>
  </si>
  <si>
    <t>Large Language Models (LLMs) are increasingly deployed across multilingual applications that handle sensitive data, yet their scale and linguistic variability introduce major privacy risks. Mostly evaluated for English, this paper investigates how language structure affects privacy leakage in LLMs trained on English, Spanish, French, and Italian medical corpora. We quantify six linguistic indicators and evaluate three attack vectors: extraction, counterfactual memorization, and membership inference. Results show that privacy vulnerability scales with linguistic redundancy and tokenization granularity: Italian exhibits the strongest leakage, while English shows higher membership separability. In contrast, French and Spanish display greater resilience due to higher morphological complexity. Overall, our findings provide the first quantitative evidence that language matters in privacy leakage, underscoring the need for language-aware privacy-preserving mechanisms in LLM deployments.</t>
  </si>
  <si>
    <t>Abhishek Kumar Mishra; Antoine Boutet; Lucas Magnana</t>
  </si>
  <si>
    <t>Abhishek Kumar Mishra</t>
  </si>
  <si>
    <t>267-FIND</t>
  </si>
  <si>
    <t>LLMs Faithfully and Iteratively Compute Answers During CoT: A Systematic Analysis With Multi-hop Arithmetics</t>
  </si>
  <si>
    <t>This study investigates the internal information flow of large language models (LLMs) while performing chain-of-thought (CoT) style reasoning. Specifically, with a particular interest in the faithfulness of the CoT explanation to LLMs' final answer, we explore (i) when the LLMs' answer is (pre)determined, especially before the CoT begins or after, and (ii) how strongly the information from CoT specifically has a causal effect on the final answer. Our experiments with controlled arithmetic tasks reveal a systematic internal reasoning mechanism of LLMs. They have not derived an answer at the moment when input was fed into the model. Instead, they compute (sub-)answers while generating the reasoning chain on the fly. Therefore, the generated reasoning chains can be regarded as faithful reflections of the model's internal computation.</t>
  </si>
  <si>
    <t>Keito Kudo; Yoichi Aoki; Tatsuki Kuribayashi; Shusaku Sone; Masaya Taniguchi; Ana Brassard; Keisuke Sakaguchi; Kentaro Inui</t>
  </si>
  <si>
    <t>Keito Kudo</t>
  </si>
  <si>
    <t>279-FIND</t>
  </si>
  <si>
    <t>HiGraAgent: Dual-Agent Adaptive Reasoning over Hierarchical Knowledge Graph for Open Domain Multi-hop Question Answering</t>
  </si>
  <si>
    <t>Open Domain Multi-hop Question Answering faces a dual compositionality challenge: reasoning over complex query structures and integrating evidence scattered across contexts. Despite recent advancements in Graph-based Retrieval-Augmented Generation (GraphRAG), persistent limitations in complex reasoning and retrieval inaccuracies continue to constrain the efficacy of multi-hop QA systems. We introduce HiGraAgent, a framework that unifies graph-based retrieval with adaptive reasoning. It constructs a Hierarchical Knowledge Graph (HiGra) with entity alignment, reducing redundancy by 34.5% while preserving expressiveness; employs HiGraRetriever, a hybrid graph-semantic retriever that consistently outperforms the strongest graph-based method across benchmarks; and integrates a dual-agent adaptive reasoning protocol where a Seeker and a Librarian dynamically coordinate retrieval and reasoning. Together, these innovations enable HiGraAgent to achieve 85.3% average accuracy on HotpotQA, 2WikiMultihopQA, and MuSiQue, surpassing the strongest prior system by 11.7%. Our results highlight the importance of reframing multi-hop QA as a problem of adaptive reasoning, offering a more robust and flexible paradigm for complex information seeking.</t>
  </si>
  <si>
    <t>Hung Luu; Long Nguyen; Trung Pham; Hieu Pham; Tho Quan</t>
  </si>
  <si>
    <t>Tho Quan</t>
  </si>
  <si>
    <t>286-FIND</t>
  </si>
  <si>
    <t>Suppressing Final Layer Hidden State Jumps in Transformer Pretraining</t>
  </si>
  <si>
    <t>This paper discusses the internal behavior of Transformer language models. Many recent pre-trained models have been reported to exhibit only slight changes in the angular distance between input and output hidden state vectors in the middle Transformer layers, despite a disproportionately large ``jump'' in angular distance occurring in or around the final Transformer layer. To characterize this, we first introduce a quantitative metric for jump strength around the final layer, and then demonstrate its prevalence across many public pre-trained models, as well as its amplification throughout pre-training. Assuming such jumps indicate an undesirable property, we propose a regularizer that penalizes the jump during pre-training, thereby encouraging more balanced capability usage across the middle layers. Empirical evaluations of three model sizes of Llama-based models, trained with our jump-suppressing regularizer (JREG), reveal improved task performance compared to the baseline without altering the model architecture.</t>
  </si>
  <si>
    <t>Keigo Shibata; Kazuki Yano; Ryosuke Takahashi; Jaesung Lee; Wataru Ikeda; Jun Suzuki</t>
  </si>
  <si>
    <t>Keigo Shibata</t>
  </si>
  <si>
    <t>293-FIND</t>
  </si>
  <si>
    <t>MapAgent: A Hierarchical Agent for Geospatial Reasoning with Dynamic Map Tool Integration</t>
  </si>
  <si>
    <t>Agentic AI has significantly extended the capabilities of large language models (LLMs) by enabling complex reasoning and tool use. However, most existing frameworks are tailored to domains such as mathematics, coding, or web automation, and fall short on geospatial tasks that require spatial reasoning, multi-hop planning, and real-time map interaction. To address these challenges, we introduce MapAgent, a hierarchical multi-agent plug-and-play framework with customized toolsets and agentic scaffolds for map-integrated geospatial reasoning. Unlike existing flat agent-based approaches that treat tools uniformlyвЂ”often overwhelming the LLM when handling similar but subtly different geospatial APIsвЂ”MapAgent decouples planning from execution. A high-level planner decomposes complex queries into subgoals, which are routed to specialized modules. For tool-heavy modulesвЂ”such as map-based servicesвЂ”we then design a dedicated map-tool agent that efficiently orchestrates related APIs adaptively in parallel to effectively fetch geospatial data relevant for the query, while simpler modules (e.g., solution generation or answer extraction) operate without additional agent overhead. This hierarchical design reduces cognitive load, improves tool selection accuracy, and enables precise coordination across similar APIs. We evaluate MapAgent on four diverse geospatial benchmarksвЂ”MapEval-Textual, MapEval-API, MapEval-Visual, and MapQAвЂ”and demonstrate substantial gains over state-of-the-art tool-augmented and agentic baselines.</t>
  </si>
  <si>
    <t>Md Hasebul Hasan; Mahir Labib Dihan; Tanzima Hashem; Mohammed Eunus Ali; Md Rizwan Parvez</t>
  </si>
  <si>
    <t>Md Rizwan Parvez</t>
  </si>
  <si>
    <t>294-FIND</t>
  </si>
  <si>
    <t>Comprehensive Study of Bilingual and Multi-category Instruction Pre-training</t>
  </si>
  <si>
    <t>Instruction pre-training (IPT) has recently emerged as an effective intermediate stage between vanilla pre-training and post-training for large language models (LLMs). However, the optimal design of IPT corpora---such as the balance between raw and instruction-response data, languages, and task categories---remains unclear. We systematically study IPT corpus composition using a bilingual (English and Japanese) and multi-category (coding, general, math, and reasoning) instruction-response dataset. Through extensive IPT experiments across four base models, including both English-centric and bilingual LLMs, we find that: (1) more instruction-response data generally enhances model performance, particularly for models with large VPT budgets; (2) Japanese instruction data can improve English performance through cross-lingual transfer; and (3) the effectiveness of post-training varies across categories: coding performance is largely determined during IPT, while math and reasoning continue to improve during post-training.</t>
  </si>
  <si>
    <t>Takashi Kodama; Yusuke Oda</t>
  </si>
  <si>
    <t>Takashi Kodama</t>
  </si>
  <si>
    <t>298-FIND</t>
  </si>
  <si>
    <t>Don’t Judge Code by Its Cover: Exploring Biases in LLM Judges for Code Evaluation</t>
  </si>
  <si>
    <t>With the growing use of large language models (LLMs) as evaluators, their application has expanded to code evaluation tasks, where they assess the correctness of generated code without relying on reference implementations. While this offers scalability and flexibility, it also raises a critical, unresolved question: Can LLM judges fairly and robustly evaluate semantically equivalent code with superficial variations? Functionally correct code often exhibits variationsвЂ”such as differences in variable names, comments, or formattingвЂ”that should not influence its correctness. Yet, whether LLM judges can reliably handle these variations remains unclear. We present the first comprehensive study of this issue, defining six types of potential bias in code evaluation and revealing their systematic impact on LLM judges. Across five programming languages and multiple LLMs, we empirically demonstrate that all tested LLM judges are susceptible to both positive and negative biases, resulting in inflated or unfairly low scores. Moreover, we observe that LLM judges remain vulnerable to these biases even when prompted to generate test cases before scoring, highlighting the need for more robust code evaluation method</t>
  </si>
  <si>
    <t>Jiwon Moon; Yerin Hwang; Dongryeol Lee; taegwan kang; Yongil Kim; Kyomin Jung</t>
  </si>
  <si>
    <t>Jiwon Moon</t>
  </si>
  <si>
    <t>302-FIND</t>
  </si>
  <si>
    <t>COMMUNITYNOTES: A Dataset for Exploring the Helpfulness of Fact-Checking Explanations</t>
  </si>
  <si>
    <t>Fact-checking on major platforms, such as X, Meta, and TikTok, is shifting from expert-driven verification to a community-based setup, where users contribute explanatory notes to clarify why a post might be misleading. An important challenge here is determining whether an explanation is helpful for understanding real-world claims and the reasons why, which remains largely underexplored in prior research. In practice, most community notes remain unpublished due to slow community annotation, and the reasons for helpfulness lack clear definitions. To bridge these gaps, we introduce the task of predicting both the helpfulness of explanatory notes and the reason for this. We present COMMUNITYNOTES, a large-scale multilingual dataset of 105k posts with user-provided notes and helpfulness labels. We further propose a framework that automatically generates and improves reason definitions via automatic prompt optimization, and integrate them into prediction. Our experiments show that the optimized definitions can improve both helpfulness and reason prediction. Finally, we show that the helpfulness information are beneficial for existing fact-checking systems.</t>
  </si>
  <si>
    <t>Rui Xing; Preslav Nakov; Timothy Baldwin; Jey Han Lau</t>
  </si>
  <si>
    <t>Rui Xing</t>
  </si>
  <si>
    <t>308-FIND</t>
  </si>
  <si>
    <t>ParsTranslit: Truly Versatile Tajik-Farsi Transliteration</t>
  </si>
  <si>
    <t>As a digraphic language, the Persian language utilizes two written standards: Perso-Arabic in Afghanistan and Iran, and Tajik-Cyrillic in Tajikistan. Despite the significant similarity between the dialects of each country, script differences prevent simple one-to-one mapping, hindering written communication and interaction between Tajikistan and its Persian-speaking ``siblings''. To overcome this, previously-published efforts have investigated machine transliteration models to convert between the two scripts. Unfortunately, most efforts did not use datasets other than those they created, limiting these models to certain domains of text such as archaic poetry or word lists. A truly usable transliteration system must be capable of handling varied domains, meaning that suck models lack the versatility required for real-world usage. The contrast in domain between data also obscures the task's true difficulty. We present a new state-of-the-art sequence-to-sequence model for Tajik-Farsi transliteration trained across all available datasets, and present two datasets of our own. Our results across domains provide clearer understanding of the task, and set comprehensive comparable leading benchmarks. Overall, our model achieves chrF++ and Normalized CER scores of 87.91 and 0.05 from Farsi to Tajik and 92.28 and 0.04 from Tajik to Farsi. Our model, data, and code are available at https://anonymous.4open.science/r/ParsTranslit-FB30/.</t>
  </si>
  <si>
    <t>Rayyan Merchant; Kevin Tang</t>
  </si>
  <si>
    <t>Rayyan Merchant</t>
  </si>
  <si>
    <t>309-FIND</t>
  </si>
  <si>
    <t>One Sentence, Two Embeddings: Contrastive Learning of Explicit and Implicit Semantic Representations</t>
  </si>
  <si>
    <t>Sentence embedding methods have made remarkable progress, yet they still struggle to capture the implicit semantics within sentences. This can be attributed to the inherent limitations of conventional sentence embedding methods that assign only a single vector per sentence. To overcome this limitation, we propose DualCSE, a sentence embedding method that assigns two embeddings to each sentence: one representing the explicit semantics and the other representing the implicit semantics. These embeddings coexist in the shared space, enabling the selection of the desired semantics for specific purposes such as information retrieval and text classification. Experimental results demonstrate that DualCSE can effectively encode both explicit and implicit meanings and improve the performance of the downstream task.</t>
  </si>
  <si>
    <t>Kohei Oda; Po-Min Chuang; Kiyoaki Shirai; Natthawut Kertkeidkachorn</t>
  </si>
  <si>
    <t>Kohei Oda</t>
  </si>
  <si>
    <t>319-FIND</t>
  </si>
  <si>
    <t>Unsupervised Detection of LLM-Generated Text in Korean Using Syntactic and Semantic Cues</t>
  </si>
  <si>
    <t>As Large Language Models (LLMs) are increasingly used for content creation, detecting AI-generated text has become a critical challenge. Prior work has largely focused on English, leaving low-resource languages such as Korean underexplored. We propose an unsupervised detection framework that integrates two complementary signals: syntactic token cohesiveness (TOCSIN) and semantic regeneration similarity (SimLLM). To support evaluation, we construct a Korean pairwise dataset of 1,000 anchors with continuation- and regeneration-style generations and further assess performance across domains (news, research paper abstracts, essays) and model families (GPT-3.5, GPT-4o, HyperCLOVA X, LLaMA-3-8B). Without any training, our ensemble achieves up to 0.963 F1 and 0.985 ROC-AUC, outperforming baselines. These results demonstrate that the combination of syntactic and semantic cues enables robust unsupervised detection in low-resource settings. Code available at https://anonymous.4open.science/r/llm-detection-main-687D/.</t>
  </si>
  <si>
    <t>Heejeong Jeon; MinSu Park; YunSeok Choi; Eunil Park</t>
  </si>
  <si>
    <t>Heejeong Jeon</t>
  </si>
  <si>
    <t>334-FIND</t>
  </si>
  <si>
    <t>NLP Privacy Risk Identification in Social Media (NLP-PRISM): A Survey</t>
  </si>
  <si>
    <t>Natural Language Processing (NLP) is integral to social media analytics but often processes content containing Personally Identifiable Information (PII), behavioral cues, and metadata raising privacy risks such as surveillance, profiling, and targeted advertising. To systematically assess these risks, we review $203$ peer-reviewed papers and propose the~\textit{NLP Privacy Risk Identification in Social Media (NLP-PRISM)} framework, which evaluates vulnerabilities across six dimensions: data collection, preprocessing, visibility, fairness, computational risk, and regulatory compliance. Our analysis shows that transformer models achieve F1-scores ranging from $0.58$вЂ“$0.84$, but incur a $1\% - 23\%$ drop under privacy-preserving fine-tuning. Using NLP-PRISM, we examine privacy coverage in six NLP tasks: sentiment analysis ($16$), emotion detection ($14$), offensive language identification ($19$), code-mixed processing ($39$), native language identification ($29$), and dialect detection ($24$) revealing substantial gaps in privacy research. We further found a ($\downarrow 2\%-9\%$) trade-off in model utility, MIA AUC (membership inference attacks) $0.81$, AIA accuracy $0.75$ (attribute inference attacks). Finally, we advocate for stronger anonymization, privacy-aware learning, and fairness-driven training to enable ethical NLP in social media contexts.</t>
  </si>
  <si>
    <t>Dhiman Goswami; Jai Kruthunz Naveen Kumar; Sanchari Das</t>
  </si>
  <si>
    <t>Sanchari Das</t>
  </si>
  <si>
    <t>339-FIND</t>
  </si>
  <si>
    <t>Bias in the Ear of the Listener: Assessing Sensitivity in Audio Language Models Across Linguistic, Demographic, and Positional Variations</t>
  </si>
  <si>
    <t>Recent multimodal large language models (MLLMs) extend language understanding beyond text to speech, enabling unified reasoning across modalities. While biases in text-based LLMs have been widely examined, their persistence and manifestation in spoken inputs remain underexplored. This work presents the first systematic investigation of speech bias in multilingual MLLMs. We construct and release the BiasInEar Dataset, a speech-augmented benchmark based on Global MMLU Lite, spanning English, Chinese, and Korean, balanced by gender and accent, and totaling 70.8 hours ($\approx$4,249 minutes) of speech with 11,200 questions. Using four complementary metrics (accuracy, entropy, APES, and FleissвЂ™ $\kappa$), we evaluate nine representative models under linguistic language and accent, demographic gender, and structural option order perturbations. Our findings reveal that MLLMs are relatively robust to demographic factors but highly sensitive to language and option order, suggesting that speech can amplify existing structural biases. Moreover, architectural design and reasoning strategy substantially affect robustness across languages. Overall, this study establishes a unified framework for assessing fairness and robustness in speech-integrated LLMs, bridging the gap between text- and speech-based evaluation.</t>
  </si>
  <si>
    <t>Sheng-Lun Wei; Yu-Ling Liao; Yen-Hua Chang; Hen-Hsen Huang; Hsin-Hsi Chen</t>
  </si>
  <si>
    <t>YU-LING, LIAO</t>
  </si>
  <si>
    <t>343-FIND</t>
  </si>
  <si>
    <t>Pushing the Frontiers of Scientific Fact-Checking: The SCINLP Dataset</t>
  </si>
  <si>
    <t>Large Language Models (LLMs) are increasingly being used to understand how scientific research evolves, drawing growing interest from the research community. However, limited work has explored the scientific fact-checking of research questions and claims from manuscripts, particularly within the NLP domain, an emerging direction for advancing scientific integrity and knowledge validation. In this work, we propose a novel scientific fact-checking dataset, SCINLP, tailored to the NLP domain. Our proposed framework on SCINLP systematically verifies the veracity of complex scientific research questions across varying rationale contexts, while also assessing their temporal positioning. SCINLP includes supporting and refuting research questions from a curated collection of influential and reputed NLP papers published between 2000 and 2024. In our framework, we use multiple LLMs and diverse rationale contexts from our dataset to examine scientific claims and research focus, complemented by feasibility judgments for deeper insight into scientific reasoning in NLP.</t>
  </si>
  <si>
    <t>Iffat Maab; Junichi Yamagishi</t>
  </si>
  <si>
    <t>344-FIND</t>
  </si>
  <si>
    <t>SCAN: Semantic Document Layout Analysis for Textual and Visual Retrieval-Augmented Generation</t>
  </si>
  <si>
    <t>With the increasing adoption of Large Language Models (LLMs) and Vision-Language Models (VLMs), rich document analysis technologies for applications like Retrieval-Augmented Generation (RAG) and visual RAG are gaining significant attention. Recent research indicates that using VLMs yields better RAG performance, but processing rich documents remains a challenge since a single page contains large amounts of information. In this paper, we present SCAN (SemantiC Document Layout ANalysis), a novel approach that enhances both textual and visual Retrieval-Augmented Generation (RAG) systems that work with visually rich documents. It is a VLM-friendly approach that identifies document components with appropriate semantic granularity, balancing context preservation with processing efficiency. SCAN uses a coarse-grained semantic approach that divides documents into coherent regions covering contiguous components. We trained the SCAN model by fine-tuning object detection models on an annotated dataset. Our experimental results across English and Japanese datasets demonstrate that applying SCAN improves end-to-end textual RAG performance by up to 9.4 points and visual RAG performance by up to 10.4 points, outperforming conventional approaches and even commercial document processing solutions.</t>
  </si>
  <si>
    <t>Nobuhiro Ueda; Yuyang Dong; KrisztiГЎn Boros; Daiki Ito; Takuya Sera; Masafumi Oyamada</t>
  </si>
  <si>
    <t>Nobuhiro Ueda</t>
  </si>
  <si>
    <t>348-FIND</t>
  </si>
  <si>
    <t>TELLME: Test-Enhanced Learning for Language Model Enrichment</t>
  </si>
  <si>
    <t>Continual pre-training (CPT) has been widely adopted as a method for domain expansion in large language models. However, CPT has consistently been accompanied by challenges, such as the difficulty of acquiring large-scale domain-specific datasets and high computational costs. In this study, we propose a novel method called Test-Enhanced Learning for Language Model Enrichment (TELLME) to alleviate these issues. TELLME leverages the Test-Enhanced Learning (TEL) principle, whereby the modelвЂ™s learning efficiency is improved using quizzes during training. It integrates this principle with CPT, thereby promoting efficient domain-specific knowledge acquisition and long-term memory retention. Experimental results demonstrate that TELLME outperforms existing methods by up to 23.6% in the financial domain and achieves a 9.8% improvement in long-term memory retention.</t>
  </si>
  <si>
    <t>Minjun Kim; Inho Won; HyeonSeok Lim; MinKyu Kim; Junghun Yuk; Wooyoung Go; Jongyoul Park; Jungyeul Park; KyungTae Lim</t>
  </si>
  <si>
    <t>Minjun Kim</t>
  </si>
  <si>
    <t>354-FIND</t>
  </si>
  <si>
    <t>Beyond Accuracy: Alignment and Error Detection across Languages in the Bi-GSM8K Math-Teaching Benchmark</t>
  </si>
  <si>
    <t>Recent advancements in LLMs have significantly improved mathematical problem-solving, with models like GPT-4 achieving human-level performance. However, proficiently solving mathematical problems differs fundamentally from effectively teaching mathematics. To bridge this gap, we introduce the Bi-GSM8K benchmark, a bilingual English-Korean dataset enriched with teacher solutions, student solutions, and annotations marking students' initial errors. This dataset is designed to evaluate two core capabilities of LLMs: (1) measuring similarity between student and teacher solutions, and (2) identifying the initial error point in student solutions. Our method achieves high agreement with human judgments, with Pearson 0.89 and Spearman 0.88 on English, and Pearson 0.89 and Spearman 0.87 on Korean. It also offers significantly lower latency and resource usage than commercial APIs, demonstrating strong computational efficiency. In the error detection task, open-source models achieved approximately 86% accuracy, with performance within 10% points of commercial LLMs API, suggesting strong practical potential. Our key contributions include the open-source release of Bi-GSM8K, novel evaluation metrics, and comparative analyses of LLM performance across languages.</t>
  </si>
  <si>
    <t>Jieun Park; KyungTae Lim; JOON-HO LIM</t>
  </si>
  <si>
    <t>Jieun Park</t>
  </si>
  <si>
    <t>355-FIND</t>
  </si>
  <si>
    <t>VN-MTEB: Vietnamese Massive Text Embedding Benchmark</t>
  </si>
  <si>
    <t>Vietnam ranks among the top countries in terms of both internet traffic and online toxicity. As a result, implementing embedding models for recommendation and content control duties in applications is crucial. However, a lack of large-scale test datasets, both in volume and task diversity, makes it tricky for scientists to effectively evaluate AI models before deploying them in real-world, large-scale projects. To solve this important problem, we introduce a Vietnamese benchmark, VN-MTEB for embedding models, which we created by translating a large number of English samples from the Massive Text Embedding Benchmark using our new automated framework, thereby contributing an extension of the Massive Multilingual Text Embedding Benchmark with our additional Vietnamese tasks and datasets. We leverage the strengths of large language models (LLMs) and cutting-edge embedding models to conduct translation and filtering processes to retain high-quality samples, guaranteeing a natural flow of language and semantic fidelity while preserving named entity recognition (NER) and code snippets. Our comprehensive benchmark consists of 41 datasets from six tasks specifically designed for Vietnamese text embeddings. In our analysis, we find that bigger and more complex models using Rotary Positional Embedding outperform those using Absolute Positional Embedding in embedding tasks.</t>
  </si>
  <si>
    <t>Loc Pham; Tung Luu; Thu Vo; Minh Nguyen; Viet Hoang</t>
  </si>
  <si>
    <t>Bao Loc Pham</t>
  </si>
  <si>
    <t>364-FIND</t>
  </si>
  <si>
    <t>See More, Store Less: Memory-Efficient Resolution for Video Moment Retrieval</t>
  </si>
  <si>
    <t>Recent advances in Multimodal Large Language Models (MLLMs) have improved image recognition and reasoning, but video-related tasks remain challenging due to memory constraints from dense frame processing. Existing Video Moment Retrieval (VMR) methodologies rely on sparse frame sampling, risking potential information loss, especially in lengthy videos. We propose SMORE (See MORE, store less), a framework that enhances memory efficiency while maintaining high information resolution. SMORE (1) uses query-guided captions to encode semantics aligned with user intent, (2) applies query-aware importance modulation to highlight relevant segments, and (3) adaptively compresses frames to preserve key content while reducing redundancy. This enables efficient video understanding without exceeding memory budgets. Experimental validation reveals that SMORE achieves state-of-the-art performance on QVHighlights, Charades-STA, and ActivityNet-Captions benchmarks. The code will be made publicly available.</t>
  </si>
  <si>
    <t>Mingyu Jeon; Sungjin Han; Jinkwon Hwang; Minchol Kwon; Jonghee Kim; Junyeong Kim</t>
  </si>
  <si>
    <t>Mingyu Jeon</t>
  </si>
  <si>
    <t>366-FIND</t>
  </si>
  <si>
    <t>RB-LoRA: Rank-Balanced Aggregation for Low-Rank Adaptation with Federated Fine-Tuning</t>
  </si>
  <si>
    <t>Federated fineвЂ‘tuning of foundation models is impeded by the need to communicate billions of parameters. LowвЂ‘rank adaptation (LoRA) alleviates this by updating only compact adapter matrices. However, varying client device capabilities lead to different adapter ranks, causing rank heterogeneity that undermines aggregation, and existing reconciliation methods still incur bias or inefficiency. To address this challenge, we propose RB-LoRA, a principled rankвЂ‘balanced aggregation framework that decomposes each update into rankвЂ‘wise components and aligns them using analytically derived weights. Experiments on both language models and vision transformers demonstrate consistent improvements across both one-shot and three-shot settings in language and vision tasks.</t>
  </si>
  <si>
    <t>Sihyeon ha; Yongjeong Oh; Yo-Seb Jeon</t>
  </si>
  <si>
    <t>Sihyeon Ha</t>
  </si>
  <si>
    <t>381-FIND</t>
  </si>
  <si>
    <t>Breaking the Illusion of Reasoning in Polish LLMs: Quality over Quantity of Thought</t>
  </si>
  <si>
    <t>Recent advances in large language models (LLMs) have introduced explicit reasoning capabilities, yet the factors that truly drive their improved performance remain unclear. In this work, we disentangle the effects of reasoning quality and sequence length by fine-tuning 8B models on several Polish variants of the Mixture-of-Thoughts (MoT-PL) dataset, each representing a distinct reasoning style: Detailed, Summarized, BabyThink, Lengthy. We found that the model trained on high-quality reasoning traces achieved better average performance than all other models; neither longer reasoning with similar quality nor low-quality reasoning with similar length achieved similar gains. Qualitative and quantitative analyses further reveal that reasoning clarity, rather than verbosity, determines model performance. These findings underscore the importance of reasoning content quality in LLM training and provide new insights into designing more effective reasoning-oriented datasets and models.</t>
  </si>
  <si>
    <t>Dzmitry Pihulski; MikoЕ‚aj Langner; Jan Eliasz; Przemyslaw Kazienko; Jan Kocon; Teddy Ferdinan</t>
  </si>
  <si>
    <t>Teddy Ferdinan</t>
  </si>
  <si>
    <t>383-FIND</t>
  </si>
  <si>
    <t>RV-Syn: Rational and Verifiable Mathematical Reasoning Data Synthesis based on Structured Function Library</t>
  </si>
  <si>
    <t>The advancement of reasoning capabilities in Large Language Models (LLMs) requires substantial amounts of high-quality reasoning data, particularly in mathematics. Existing data synthesis methods, such as data augmentation from annotated training sets or direct question generation based on relevant knowledge points and documents, have expanded datasets but face challenges in mastering the internal logic of the problem during generation and ensuring the verifiability of the solutions. To address these issues, we propose \textbf{RV-Syn}, a novel \underline{\textbf{R}}ational and \underline{\textbf{V}}erifiable mathematical \underline{\textbf{Syn}}thesis approach. RV-Syn first constructs a structured library of mathematical operations and then composes them into executable computational graphs, which serve as verifiable solution blueprints. These graphs are subsequently back-translated into complex problems, enabling solution-guided, logic-aware problem generation while inherently ensuring the verifiability of the solving process. Experimental results show RV-Syn surpasses existing synthesis methods, including those involving human-crafted problems. Our method achieves a 6.3% performance gain over the previous state-of-the-art synthetic data on LLaMA-3-8B and demonstrates superior data efficiency, outperforming others with only half the training data (50k vs. 100k), enabling a more scalable and robust reasoning dataset generation framework.</t>
  </si>
  <si>
    <t>jiapeng wang; Jinhao Jiang; Zhiqiang Zhang; JUN ZHOU; Xin Zhao</t>
  </si>
  <si>
    <t>jiapeng wang</t>
  </si>
  <si>
    <t>388-FIND</t>
  </si>
  <si>
    <t>From Semantics to Style: A Cross-Dataset Comparative Framework for Sentence Similarity Predictions</t>
  </si>
  <si>
    <t>Semantic Textual Similarity (STS) is a central embedding task in natural language processing, yet its definition is inherently ambiguous and varies across datasets. While previous studies have contributed to improving the interpretability of embedding models, most of these advancements are method-based and research on the relationships among datasets remains limited. In this paper, we introduce a comparative framework that attaches lightweight poolers to a frozen encoder, enabling consistent analysis across STS, Paraphrase identification (PI), and Triplet datasets. Our experiments on 21 datasets show that semantic notions are highly correlated across STS/PI settings, whereas style is a distinct concept that requires explicit separation from semantics. Layer-wise and hierarchical clustering analyses further reveal the differences in the properties among concepts and the structural organization of the embedding representation space. These findings suggest that semantic and style should be treated as distinct components in embedding models, with implications for both interpretability and practical applications.</t>
  </si>
  <si>
    <t>Yusuke Yamauchi; Akiko Aizawa</t>
  </si>
  <si>
    <t>Yusuke Yamauchi</t>
  </si>
  <si>
    <t>390-FIND</t>
  </si>
  <si>
    <t>Feature Drift: How Fine-Tuning Repurposes Representations in LLMs</t>
  </si>
  <si>
    <t>Fine-tuning LLMs introduces many important behaviors, such as instruction following, safety alignment. This makes it crucial to study how fine-tuning changes models' internal mechanisms. Sparse autoencoders (SAEs) offer a powerful tool for interpreting neural networks by extracting concepts (features) represented in their activations. Previous work observed that SAEs trained on base models transfer effectively to instruction-tuned (chat) models, attributed to activation similarity. In this work, we propose *feature drift* as an alternative explanation: the feature space remains relevant, but the distribution of feature activations changes. In other words, fine-tuning recombines existing concepts rather than learning new ones. We validate this by showing base SAEs reconstruct both base and chat activations comparably despite systematic differences, with individual features exhibiting clear drift patterns. In a refusal behavior case study, we identify base SAE features that drift to activate on harmful instructions in chat models. Causal interventions using these features confirm that they mediate refusal. Our findings suggest that monitoring how existing features drift, rather than searching for entirely new features, may provide a more complete explanation of how fine-tuning changes model capabilities.</t>
  </si>
  <si>
    <t>Andrey V. Galichin; Anton Korznikov; Alexey Dontsov; Oleg Rogov; Elena Tutubalina; Ivan Oseledets</t>
  </si>
  <si>
    <t>Alexey Dontsov</t>
  </si>
  <si>
    <t>391-FIND</t>
  </si>
  <si>
    <t>Detecting Winning Arguments with Large Language Models and Persuasion Strategies</t>
  </si>
  <si>
    <t>Detecting persuasion in argumentative text is a challenging task with important implications for understanding human communication. This work investigates the role of persuasion strategies - such as Attack on reputation, Distraction, and Manipulative wording - in determining the persuasiveness of a text. We conduct experiments on three annotated argument datasets: Winning Arguments (built from the Change My View subreddit), Anthropic/Persuasion, and Persuasion for Good. Our approach leverages large language models (LLMs) with a chain-of-thought framework that guides reasoning over six persuasion strategies. Results show that strategy-guided reasoning improves the prediction of persuasiveness. To better understand the influence of content, we organize the Winning Argument dataset into broad discussion topics and analyze performance across them. We publicly release this topic-annotated version of the dataset to facilitate future research. Overall, our methodology demonstrates the value of structured, strategy-aware prompting for enhancing interpretability and robustness in argument quality assessment.</t>
  </si>
  <si>
    <t>Tiziano Labruna; Arkadiusz Modzelewski; Giorgio Satta; Giovanni Da San Martino</t>
  </si>
  <si>
    <t>Tiziano Labruna</t>
  </si>
  <si>
    <t>396-FIND</t>
  </si>
  <si>
    <t>Best-of-L: Cross-Lingual Reward Modeling for Mathematical Reasoning</t>
  </si>
  <si>
    <t>While the reasoning abilities of large language models (LLMs) continue to advance, it remains underexplored how such abilities vary across languages in multilingual LLMs and whether different languages generate distinct reasoning paths. In this work, we explore how reasoning knowledge in different languages complements one another. We propose a novel cross-lingual reward modeling framework that aggregates reasoning signals across languages to enhance mathematical reasoning. Our results show a substantial improvement (about 10 scores) in multilingual mathematical reasoning performance compared to using reward modeling within a single language, benefiting even high-resource languages. While English often exhibits the highest performance in multilingual models, we find that cross-lingual sampling benefits English, particularly under low sampling budgets. Our findings reveal new opportunities to improve multilingual reasoning by leveraging the complementary strengths of diverse languages.</t>
  </si>
  <si>
    <t>Sara Rajaee; Rochelle Choenni; Ekaterina Shutova; Christof Monz</t>
  </si>
  <si>
    <t>Sara Rajaee</t>
  </si>
  <si>
    <t>397-FIND</t>
  </si>
  <si>
    <t>Nuanced Toxicity Detection in Spanish: A New Corpus and Benchmark Study</t>
  </si>
  <si>
    <t>The rise of toxic content on digital platforms has intensified the demand for automatic moderation tools. While English has benefited from large-scale annotated corpora, Spanish remains under-resourced, particularly for nuanced cases of toxicity such as irony, sarcasm, or indirect aggression. We present an extended version of the NECOS-TOX corpus, comprising 4,011 Spanish comments collected from 16 major news outlets. Each comment is annotated across three levels of toxicity (Non-Toxic, Slightly Toxic, and Toxic), following an iterative annotation protocol that achieved substantial inter-annotator agreement (k = 0.74). To reduce annotation costs while maintaining quality, we employed a human-in-the-loop active learning strategy, with manual correction of model pre-labels. We benchmarked the dataset with traditional machine learning (ML) methods, domain-specific transformers, and instruction-tuned large language models (LLMs). Results show that compact encoder models (e.g., RoBERTa-base-bne, 125M parameters) perform on par with much larger models (e.g., LLaMA-3.1-8B), underscoring the value of in-domain adaptation over raw scale. Our error analysis highlights persistent challenges in distinguishing subtle forms of toxicity, especially sarcasm and implicit insults, and reveals entity-related biases that motivate anonymization strategies. The dataset and trained models are released publicly.</t>
  </si>
  <si>
    <t>Alba MarГ­a MГЎrmol-Romero; Robiert SepГєlveda-Torres; Estela Saquete; MarГ­a-Teresa MartГ­n-Valdivia; L. Alfonso UreГ±a</t>
  </si>
  <si>
    <t>Alba María Mármol Romero</t>
  </si>
  <si>
    <t>398-FIND</t>
  </si>
  <si>
    <t>Persona Switch: Mixing Distinct Perspectives in Decoding Time</t>
  </si>
  <si>
    <t>Role-play prompting is known to steer the behavior of language models by injecting a persona into the prompt, improving their zero-shot reasoning capabilities. However, such improvements are inconsistent across different tasks or instances. This inconsistency suggests that zero-shot and role-play prompting may offer complementary strengths rather than one being universally superior. Building on this insight, we propose **Persona Switch**, a novel decoding method that dynamically combines the benefits of both prompting strategies. Our method proceeds step-by-step, selecting the better output between zero-shot and role-play prompting at each step by comparing their output confidence, as measured by the logit gap. Experiments with widely-used LLMs demonstrate that Persona Switch consistently outperforms competitive baselines, achieving up to 5.13\% accuracy improvement. Furthermore, we show that output confidence serves as an informative measure for selecting the more reliable output.</t>
  </si>
  <si>
    <t>Junseok Kim; Nakyeong Yang; Kyomin Jung</t>
  </si>
  <si>
    <t>Junseok Kim</t>
  </si>
  <si>
    <t>402-FIND</t>
  </si>
  <si>
    <t>Detection of Adversarial Prompts with Model Predictive Entropy</t>
  </si>
  <si>
    <t>Large Language Models (LLMs) are increasingly deployed in high-impact scenarios, raising concerns about their safety and security. Despite existing defense mechanisms, LLMs remain vulnerable to adversarial attacks. This paper introduces the novel attack-agnostic pipeline SENTRY (semantic entropy-based attack recognition system) for detecting such attacks by leveraging the predictive entropy of model outputs, quantified through the Token-Level Shifting Attention to Relevance (TokenSAR) score, a weighted token entropy measurement. Our approach dynamically identifies adversarial inputs without relying on prior knowledge of attack specifications. It requires only ten newly generated tokens, making it a computationally efficient and adaptable solution. We evaluate the pipeline on multiple state-of-the-art models, including Llama, Vicuna, Falcon, Deep Seek, and Mistral, using a diverse set of adversarial prompts generated via the h4rm31 framework. Experimental results demonstrate a clear separation in TokenSAR scores between benign, malicious, and adversarial prompts. This distinction enables effective threshold-based classification, achieving robust detection performance across various model architectures. Our method outperforms traditional defenses in terms of adaptability and resource efficiency.</t>
  </si>
  <si>
    <t>Franziska Rubenbauer; Sebastian Steindl; Patrick Levi; Daniel Loebenberger; Ulrich SchГ¤fer</t>
  </si>
  <si>
    <t>Sebastian Steindl</t>
  </si>
  <si>
    <t>403-FIND</t>
  </si>
  <si>
    <t>Actors, Frames and Arguments: A Multi-Decade Computational Analysis of Climate Discourse in Financial News using Large Language Models</t>
  </si>
  <si>
    <t>We curate a 980,061-article corpus of climate-related financial news from the Dow Jones Newswire (2000вЂ“2023) and introduce a three-stage ActorвЂ“FrameвЂ“Argument (AFA) pipeline that uses large language models to extract actors, stances, frames, and argumentative structures. We conduct AFA extraction on a stratified, uncertainty-enriched sample of 4,143 articles that preserves the temporal and thematic distributions of the full corpus. Reliability is established with a 2,000-article human-annotated gold standard and a Decompositional Verification Framework (DVF) that decomposes evaluation into completeness, faithfulness, coherence, and relevance, with multi-judge scoring calibrated against human ratings. Our longitudinal analysis uncovers a structural shift after 2015: coverage transitions from risk and regulatory-burden frames toward economic opportunity and technological innovation; financial institutions and companies increasingly deploy opportunity-centered arguments, while NGOs emphasize environmental urgency and governments stress compliance. Methodologically, we provide a replicable paradigm for longitudinal media analysis with LLMs. For high-stake domain insights, we map how the financial sector has internalized and reframed the climate crisis across two decades.</t>
  </si>
  <si>
    <t>Ruiran Su; Markus Leippold; Janet B. Pierrehumbert</t>
  </si>
  <si>
    <t>Ruiran Su</t>
  </si>
  <si>
    <t>405-FIND</t>
  </si>
  <si>
    <t>RECAP: REwriting Conversations for Intent Understanding in Agentic Planning</t>
  </si>
  <si>
    <t>Understanding user intent is essential for effective planning in conversational assistants, particularly those powered by large language models (LLMs) coordinating multiple agents. However, real-world dialogues are often ambiguous, underspecified, or dynamic, making intent understanding a persistent challenge. Traditional classification-based approaches struggle to generalize in open-ended settings, leading to brittle interpretations and poor downstream planning. We propose RECAP (REwriting Conversations for Agent Planning), a new benchmark designed to evaluate and advance intent rewriting, reframing user-agent dialogues into concise representations of user goals. RECAP captures diverse challenges such as ambiguity, intent drift, vagueness, and mixed-goal conversations. Alongside the dataset, we introduce an LLM-based evaluator that compares planning utility given a user-agent dialogue. Using RECAP, we develop a prompt-based rewriting approach that outperforms baselines, in terms of plan preference. We further demonstrate that fine-tuning two DPO-based rewriters yields additional utility gains. Our results highlight intent rewriting as a critical and tractable component for improving agentic planning in open-domain dialogue systems.</t>
  </si>
  <si>
    <t>Kushan Mitra; Dan Zhang; Hannah Kim; Estevam Hruschka</t>
  </si>
  <si>
    <t>Kushan Mitra</t>
  </si>
  <si>
    <t>412-FIND</t>
  </si>
  <si>
    <t>Modeling Turn-Taking with Semantically Informed Gestures</t>
  </si>
  <si>
    <t>In conversation, humans use multimodal cues, such as speech, gestures, and gaze, to manage turn-taking. While linguistic and acoustic features are informative, gestures provide complementary cues for modeling these transitions. To study this, we introduce DnD Gesture++, an extension of the multi-party DnD Gesture corpus enriched with 2,663 semantic gesture annotations spanning iconic, metaphoric, deictic, and discourse types. Using this dataset, we model turn-taking prediction through a Mixture-of-Experts framework integrating text, audio, and gestures. Experiments show that incorporating semantically guided gestures yields consistent performance gains over baselines, demonstrating their complementary role in multimodal turn-taking.</t>
  </si>
  <si>
    <t>Varsha Suresh; M. Hamza Mughal; Christian Theobalt; Vera Demberg</t>
  </si>
  <si>
    <t>M. Hamza Mughal</t>
  </si>
  <si>
    <t>434-FIND</t>
  </si>
  <si>
    <t>MEDAL: A Framework for Benchmarking LLMs as Multilingual Open-Domain Dialogue Evaluators</t>
  </si>
  <si>
    <t>Evaluating the quality of open-domain chatbots has become increasingly reliant on LLMs acting as automatic judges. However, existing meta-evaluation benchmarks are static, outdated, and lacking in multilingual coverage, limiting their ability to fully capture subtle weaknesses in evaluation. We introduce MEDAL, an automated multi-agent framework for curating more representative and diverse open-domain dialogue evaluation benchmarks. Our approach leverages several LLMs to generate user-chatbot multilingual dialogues, conditioned on varied seed contexts. Then, a state-of-the-art LLM (GPT-4.1) is used for a multidimensional analysis of the performance of the chatbots, uncovering noticeable cross-lingual performance differences. Guided by this large-scale evaluation, we curate a new meta-evaluation multilingual benchmark and human-annotate samples with nuanced quality judgments. This benchmark is then used to assess the ability of several reasoning and non-reasoning LLMs to act as evaluators of open-domain dialogues. Using MEDAL, we uncover that state-of-the-art judges fail to reliably detect nuanced issues such as lack of empathy, common sense, or relevance.</t>
  </si>
  <si>
    <t>John MendonГ§a; Alon Lavie; Isabel Trancoso</t>
  </si>
  <si>
    <t>John Mendonça</t>
  </si>
  <si>
    <t>437-FIND</t>
  </si>
  <si>
    <t>Which Works Best for Vietnamese? A Practical Study of Information Retrieval Methods across Domains</t>
  </si>
  <si>
    <t>Large Language Models (LLMs) have achieved remarkable progress, yet their reliance on parametric knowledge often leads to hallucinations. Retrieval-Augmented Generation (RAG) mitigates this issue by grounding outputs in external documents, where the quality of retrieval is critical. While retrieval methods have been widely benchmarked in English, it remains unclear which approaches are most effective for Vietnamese, a language characterized by informal queries, noisy documents, and limited resources. Prior studies are restricted to clean datasets or narrow domains, leaving fragmented insights. To the best of our knowledge, we present the first comprehensive benchmark of retrieval methods for Vietnamese across multiple real-world domains. We systematically compare lexical, dense, and hybrid methods on datasets spanning education, legal, healthcare, customer support, lifestyle, and Wikipedia, and introduce two new datasets capturing authentic educational counseling and customer service interactions. Beyond reporting benchmark numbers, we distill a set of empirical insights that clarify trade-offs, highlight domain-specific challenges, and provide practical guidance for building robust Vietnamese QA systems. Together, these contributions offer the first large-scale, practice-oriented perspective on Vietnamese retrieval and inform both academic research and real-world deployment in low-resource languages. All datasets and evaluation scripts are available atВ https://anonymous.4open.science/r/ViRE.</t>
  </si>
  <si>
    <t>Long Nguyen; Tho Quan</t>
  </si>
  <si>
    <t>Nguyen Song Thien Long</t>
  </si>
  <si>
    <t>438-FIND</t>
  </si>
  <si>
    <t>MemeWeaver: Inter-Meme Graph Reasoning for Sexism and Misogyny Detection</t>
  </si>
  <si>
    <t>Women are twice as likely as men to face online harassment due to their gender. Despite recent advances in multimodal content moderation, most approaches still overlook the social dynamics behind this phenomenon, where perpetrators reinforce prejudices and group identity within like-minded communities. Graph-based methods offer a promising way to capture such interactions, yet existing solutions remain limited by heuristic graph construction, shallow modality fusion, and instance-level reasoning. In this work, we present MemeWeaver, an end-to-end trainable multimodal framework for detecting sexism and misogyny through a novel inter-meme graph reasoning mechanism. We systematically evaluate multiple visual-textual fusion strategies and show that our approach consistently outperforms state-of-the-art baselines on the MAMI and EXIST benchmarks, while achieving faster training convergence. Further analyses reveal that the learned graph structure captures semantically meaningful patterns, offering valuable insights into the relational nature of online hate.</t>
  </si>
  <si>
    <t>Paolo Italiani; David Gimeno-GГіmez; Luca Ragazzi; Gianluca Moro; Paolo Rosso</t>
  </si>
  <si>
    <t>Paolo Italiani</t>
  </si>
  <si>
    <t>442-FIND</t>
  </si>
  <si>
    <t>SEAM: Bridging the Temporal-Semantic Granularity Gap for LLM-based Speech Recognition</t>
  </si>
  <si>
    <t>Speech-LLM integration faces a temporal-semantic granularity gap: speech representations scale with temporal duration while text tokens scale with semantic content. Existing duration-based methods generate embeddings at fixed rates, creating distributional mismatch with LLM pre-training. We propose SEAM (Speech Encoder-Decoder Alignment Module), an encoder-decoder architecture employing variable-rate generation through cross-attention between speech features and text embeddings. SEAM produces embeddings at adaptive rates that closely match natural text distributions while preserving pre-trained knowledge by freezing both speech encoder and LLM. We introduce a multi-stage training strategy and First Token Guidance to improve initial token prediction. SEAM achieves competitive performance on LibriSpeech (2.6\%/5.2\% WER). More significantly, trained only on LibriSpeech (960h), SEAM achieves 4.7\% WER on cross-domain TED-LIUM-v2, demonstrating that integrating LLM's linguistic knowledge enables effective generalization beyond limited speech training data.</t>
  </si>
  <si>
    <t>Junseok Oh; Ji-Hwan Kim</t>
  </si>
  <si>
    <t>Junseok Oh</t>
  </si>
  <si>
    <t>450-FIND</t>
  </si>
  <si>
    <t>Foundations of LLM Knowledge Materialization: Termination, Reproducibility, Robustness</t>
  </si>
  <si>
    <t>Large Language Models (LLMs) encode substantial factual knowledge, yet measuring and systematizing this knowledge remains challenging. Converting it into structured formatвЂ”for example through recursive extraction approaches such as the GPTKB methodology (Hu et al., 2025b)вЂ”is still underexplored. Key open questions include whether such extraction can terminate, whether its outputs are reproducible, and how robust they are to variations. We systematically study LLM knowledge materialization using $miniGPTKBs$ (domain-specific, tractable subcrawls), analyzing termination, reproducibility, and robustness across three categories of metrics: yield, lexical similarity, and semantic similarity. We experiment with four variations (seed, language, randomness, model) and three illustrative domains (from history, entertainment, and finance). Our findings show (i) high termination rates, though model-dependent; (ii) mixed reproducibility; and (iii) robustness that varies by perturbation typeвЂ”high for seeds and temperature, lower for languages and models. These results suggest that LLM knowledge materialization can reliably surface core knowledge, while also revealing important limitations.</t>
  </si>
  <si>
    <t>Luca Giordano; Simon Razniewski</t>
  </si>
  <si>
    <t>Luca Giordano</t>
  </si>
  <si>
    <t>459-FIND</t>
  </si>
  <si>
    <t>Investigating Gender Stereotypes in Large Language Models via Social Determinants of Health</t>
  </si>
  <si>
    <t>Large Language Models (LLMs) excel in Natural Language Processing (NLP) tasks, but they often propagate biases embedded in their training data, which is potentially impactful in sensitive domains like healthcare. While existing benchmarks evaluate biases related to individual social determinants of health (SDoH) such as gender or ethnicity, they often overlook interactions between these factors and lack context-specific assessments. This study investigates bias in LLMs by probing the relationships between gender and other SDoH in French patient records. Through a series of experiments, we found that embedded stereotypes can be probed using SDoH input and that LLMs rely on embedded stereotypes to make gendered decisions, thus positioning the assessment of relationships between SDoH as a potential complement to the evaluation of LLM performance.</t>
  </si>
  <si>
    <t>Trung Hieu Ngo; Adrien Bazoge; Solen Quiniou; Pierre-Antoine GOURRAUD; Emmanuel Morin</t>
  </si>
  <si>
    <t>Trung Hieu NGO</t>
  </si>
  <si>
    <t>463-FIND</t>
  </si>
  <si>
    <t>FOL-Traces: Verified First-Order Logic Reasoning Traces at Scale</t>
  </si>
  <si>
    <t>Reasoning in language models is difficult to evaluate: natural-language traces are unverifiable, symbolic datasets too small, and most benchmarks conflate heuristics with inference. We present FOL-Traces, the first large-scale dataset of programmatically verified reasoning traces, enabling rigorous evaluation of structured logical inference. We also propose two challenging and comprehensive diagnostic tasks---masked operation prediction and step completion---that directly probe syntactic awareness and process fidelity. FOL-Traces serves as a scalable testbed for rigorously studying how models perform structured logical inference. Systematic experiments with 5 reasoning LLMs show that the dataset remains challenging: models only reach around 45.7% accuracy on masked operation prediction and around 27% on two-step completion.</t>
  </si>
  <si>
    <t>Isabelle Lee; Sarah Liaw; Dani Yogatama</t>
  </si>
  <si>
    <t>Isabelle Lee</t>
  </si>
  <si>
    <t>474-FIND</t>
  </si>
  <si>
    <t>Uncertainty Quantification for Evaluating Gender Bias in Machine Translation</t>
  </si>
  <si>
    <t>The predictive uncertainty of machine translation (MT) models is typically used as a quality estimation proxy. In this work, we posit that apart from confidently translating when a single correct translation exists, models should also maintain uncertainty when the input is ambiguous. We use uncertainty to measure gender bias in MT systems. When the source sentence includes a lexeme whose gender is not overtly marked, but whose target-language equivalent requires gender specification, the model must infer the appropriate gender from the context and can be susceptible to biases. Prior work measured bias via gender accuracy, however it cannot be applied to ambiguous cases. Using semantic uncertainty, we are able to assess bias when translating both ambiguous and unambiguous source sentences, and find that high translation accuracy does not correlate with exhibiting uncertainty appropriately, and that debiasing affects the two cases differently.</t>
  </si>
  <si>
    <t>Ieva Staliunaite; Julius Cheng; Andreas Vlachos</t>
  </si>
  <si>
    <t>Ieva Raminta Staliunaite</t>
  </si>
  <si>
    <t>480-FIND</t>
  </si>
  <si>
    <t>The Hidden Bias: A Study on Explicit and Implicit Political Stereotypes in Large Language Models</t>
  </si>
  <si>
    <t>Large Language Models (LLMs) are increasingly integral to information dissemination and decision-making processes. Given their growing societal influence, understanding potential biases, particularly within the political domain, is crucial to prevent undue influence on public opinion and democratic processes. This work investigates political bias and stereotype propagation across eight prominent LLMs using the two-dimensional Political Compass Test (PCT). Initially, the PCT is employed to assess the inherent political leanings of these models. Subsequently, persona prompting with the PCT is used to explore explicit stereotypes across various social dimensions. In a final step, implicit stereotypes are uncovered by evaluating models with multilingual versions of the PCT. Key findings reveal a consistent left-leaning political alignment across all investigated models. Furthermore, while the nature and extent of stereotypes vary considerably between models, implicit stereotypes elicited through language variation are more pronounced than those identified via explicit persona prompting. Interestingly, for most models, implicit and explicit stereotypes show a notable alignment, suggesting a degree of transparency or "awareness" regarding their inherent biases. This study underscores the complex interplay of political bias and stereotypes in LLMs.</t>
  </si>
  <si>
    <t>Konrad LГ¶hr; Shuzhou Yuan; Michael FГ¤rber</t>
  </si>
  <si>
    <t>Konrad Löhr</t>
  </si>
  <si>
    <t>482-FIND</t>
  </si>
  <si>
    <t>TIPA: Typologically Informed Parameter Aggregation</t>
  </si>
  <si>
    <t>Massively multilingual language models enable cross-lingual generalization but underperform on low-resource and unseen languages. While adapter-based fine-tuning offers a parameter-efficient solution, training language-specific adapters at scale remains costly. We introduce Typologically Informed Parameter Aggregation (TIPA), a training-free framework that constructs proxy language adapters by aggregating existing ones, weighted by typological similarity. Integrated into the MAD-X architecture, these proxies enable zero-shot cross-lingual transfer without additional training. We evaluate TIPA on five NLP tasks and over 230 languages. TIPA consistently outperforms baselines such as English-only fine-tuning and selecting the typologically closest-language adapter, with the largest gains for languages lacking dedicated adapters. Our results demonstrate that typologically informed aggregation provides a viable alternative to language-specific modules without any training needed.</t>
  </si>
  <si>
    <t>Stef Accou; Wessel Poelman</t>
  </si>
  <si>
    <t>Stef Accou</t>
  </si>
  <si>
    <t>483-FIND</t>
  </si>
  <si>
    <t>Can Calibration of Positional Encodings Enhance RAG Performance?</t>
  </si>
  <si>
    <t>Large language models suffer from positional biases like the "Lost in the Middle'" (LiM) phenomenon and recency bias, which undermine the performance of long-context retrieval augmented generation. In this work, we investigate the role of rotary position embeddings (RoPE) in this context. Our empirical study confirms the persistence of these biases in modern language models. Drawing on these findings, we introduce Caliope, a training-free calibration framework for modifying RoPE inputs at inference time. Our calibrators yield substantial improvements in specific model-task configurations, revealing complex performance trade-offs between simple needle-in-a-haystack experiments and more demanding cross-chunk reasoning tasks. This work offers a practical mitigation framework and key insights into the nature of positional biases.</t>
  </si>
  <si>
    <t>Tom Zehle; Matthias AГџenmacher</t>
  </si>
  <si>
    <t>Tom Zehle</t>
  </si>
  <si>
    <t>487-FIND</t>
  </si>
  <si>
    <t>CrisiText: A dataset of warning messages for LLM training in emergency communication</t>
  </si>
  <si>
    <t>Effectively identifying threats and mitigating their potential damage during crisis situations, such as natural disasters or violent attacks, is paramount for safeguarding endangered individuals. To tackle these challenges, AI has been used in assisting humans in emergency situations. Still, the use of NLP techniques remains limited, and mostly focuses on classification tasks. The significant potential of timely warning message generation using NLG architectures, however, has been largely overlooked. In this paper we present CrisiText, the first large-scale dataset for the generation of warning messages across 13 different types of crisis scenarios. The dataset contains more than 400,000 warning messages (spanning almost 18,000 crisis situations) aimed at assisting civilians during and after such events. To generate the dataset, we started from existing crisis descriptions, and created chains of events related to the scenarios. Each event was then paired with a warning message. The generations follow expertвЂ™s written guidelines to ensure correct terminology and factuality of their suggestions. Additionally, each message is accompanied by three suboptimal warning types to allow for the study of different NLG approaches. To this end, we conducted a series of experiments comparing supervised fine-tuning setups with preference alignment, zero-shot, and few-shot approaches. We further assessed model performance in out-of-distribution scenarios and evaluated the effectiveness of an automatic post-editor.</t>
  </si>
  <si>
    <t>Giacomo Gonella; Gian Maria Campedelli; Stefano Menini; Marco Guerini</t>
  </si>
  <si>
    <t>Giacomo Gonella</t>
  </si>
  <si>
    <t>488-FIND</t>
  </si>
  <si>
    <t>FiNERweb: Datasets and Artifacts for Scalable Multilingual Named Entity Recognition</t>
  </si>
  <si>
    <t>Recent multilingual named entity recognition (NER) work has shown that large language models (LLMs) can provide effective synthetic supervision, yet such datasets have mostly appeared as by-products of broader experiments rather than as systematic, reusable resources. We introduce FiNERweb, a dataset-creation pipeline that scales the teacherвЂ“student paradigm to 91 languages and 25 scripts. Building on FineWeb-Edu, our approach trains regression models to identify NER-relevant passages and annotates them with multilingual LLMs, resulting in about 225k passages with 235k distinct entity labels. We train a student model on this dataset to enable the research community to efficiently expand annotations in their desired languages. The regression model for filtering useful NER passages achieves more than 84 F1. We assess annotation quality using LLM-based ratings, which show high faithfulness (3.99/5) and completeness (4.05/5). We further translate the label set into the respective target languages and observe a performance decrease of 0.02-0.09 F1. This result shows that many multilingual models rely heavily on English label prompts and that improved cross-lingual alignment is essential for future work.</t>
  </si>
  <si>
    <t>Jonas Golde; Patrick Haller; Alan Akbik</t>
  </si>
  <si>
    <t>491-FIND</t>
  </si>
  <si>
    <t>Ask Me Again Differently: GRAS for Measuring Bias in Vision Language Models on Gender, Race, Age, and Skin Tone</t>
  </si>
  <si>
    <t>As Vision Language Models (VLMs) become integral to real-world applications, understanding their demographic biases is critical. We introduce GRAS, a benchmark for uncovering demographic biases in VLMs across gender, race, age, and skin tone, offering the most diverse coverage to date. We further propose the GRAS Bias Score, an interpretable metric for quantifying bias. We benchmark five state-of-the-art VLMs and reveal concerning bias levels, with the least biased model attaining a GRAS Bias Score of 98, far from the unbiased ideal of 0. Our findings also reveal a methodological insight: evaluating bias in VLMs with visual question answering (VQA) requires considering multiple formulations of a question. Our code, data, and evaluation results are publicly available at https://anonymous.4open.science/r/vqa-skin-bias-5DA3/</t>
  </si>
  <si>
    <t>Shaivi Malik; Hasnat Md Abdullah; Sriparna Saha; Amit Sheth</t>
  </si>
  <si>
    <t>Shaivi Malik</t>
  </si>
  <si>
    <t>492-FIND</t>
  </si>
  <si>
    <t>A Simple and Efficient Learning-Style Prompting for LLM Jailbreaking</t>
  </si>
  <si>
    <t>Safety alignment aims to prevent Large Language Models (LLMs) from responding to harmful queries. To strengthen safety protections, jailbreak methods are developed to simulate malicious attacks and uncover vulnerabilities. In this paper, we introduce HILL (Hiding Intention by Learning from LLMs), a novel jailbreak approach that systematically transforms imperative harmful requests into learning-style questions with only straightforward hypotheticality indicators. Further, we introduce new metrics to thoroughly evaluate the efficiency and harmfulness of jailbreak methods. Experiments on the AdvBench dataset across a wide range of models demonstrate HILLвЂ™s strong generalizability. It achieves top attack success rates on the majority of models and across malicious categories while maintaining high efficiency with concise prompts. Results of various defense methods show the robustness of HILL, with most defenses having mediocre effects or even increasing the attack success rates. In addition, the assessment of defenses on our constructed safe prompts reveals inherent limitations of LLMs' safety mechanisms and flaws in the defense methods. This work exposes significant vulnerabilities of safety measures against learning-style elicitation, highlighting a critical challenge of fulfilling both helpfulness and safety alignments.</t>
  </si>
  <si>
    <t>Xuan Luo; YUE WANG; Zefeng He; Geng Tu; Jing Li; Ruifeng Xu</t>
  </si>
  <si>
    <t>Xuan LUO</t>
  </si>
  <si>
    <t>497-FIND</t>
  </si>
  <si>
    <t>Representation Collapse in Machine Translation Through the Lens of Angular Dispersion</t>
  </si>
  <si>
    <t>Modern neural translation models based on the Transformer architecture are known for their high performance, particularly when trained on high-resource datasets. A standard next-token prediction training strategy, while widely adopted in practice, may lead to overlooked artifacts such as representation collapse. Previous works have shown that this problem is especially pronounced in the representation of the deeper Transformer layers, where it often fails to efficiently utilize the geometric space. Representation collapse is even more evident in end-to-end training of continuous-output neural machine translation, where the trivial solution would be to set all vectors to the same value. In this work, we analyze the dynamics of representation collapse at different levels of discrete and continuous NMT transformers throughout training. We incorporate an existing regularization method based on angular dispersion and demonstrate empirically that it not only mitigates collapse but also improves translation quality. Furthermore, we show that quantized models exhibit similar collapse behavior and that the benefits of regularization are preserved even after quantization.</t>
  </si>
  <si>
    <t>Evgeniia Tokarchuk; Maya K. Nachesa; Sergey Troshin; Vlad Niculae</t>
  </si>
  <si>
    <t>Evgeniia Tokarchuk</t>
  </si>
  <si>
    <t>512-FIND</t>
  </si>
  <si>
    <t>Can LLMs Reason Like Doctors? Exploring the Limits of Large Language Models in Complex Medical Reasoning</t>
  </si>
  <si>
    <t>Large language models (LLMs) have shown remarkable progress in reasoning across multiple domains. However, it remains unclear whether their abilities reflect genuine reasoning or sophisticated pattern matching, a distinction critical in medical decision-making, which requires reliable multistep problem-solving. To this end, we conducted one of the largest evaluations of its kind, assessing 77 LLMs with diverse fine-tuning approaches, ranging from 1 billion parameters to frontier models. Guided by medical problem-solving theory, we selected three medical question-answering benchmarks targeting key reasoning skills: reasoning processes, susceptibility to cognitive biases, and metacognitive abilities. Additionally, we manually annotated a subset of questions to assess the abduction, deduction, and induction capabilities of LLMs, offering fine-grained insights into the reasoning processes employed by physicians, an aspect that has received relatively limited attention in this domain. Most models, particularly smaller ones, struggled even with specialized fine-tuning or advanced prompting. Larger models performed better but still showed clear limitations in complex medical reasoning, highlighting the need to improve specific reasoning strategies to better reflect physician decision-making. The datasets and code used in this study are publicly available at: https://anonymous.4open.science/r/Can-LLMs-Reason-Like-Doctors-6B20/README.md</t>
  </si>
  <si>
    <t>Flavio Merenda; Jose Manuel Gomez-Perez; German Rigau</t>
  </si>
  <si>
    <t>Flavio Merenda</t>
  </si>
  <si>
    <t>515-FIND</t>
  </si>
  <si>
    <t>Testing Low-Resource Language Support in LLMs Using Language Proficiency Exams: the Case of Luxembourgish</t>
  </si>
  <si>
    <t>Large Language Models (LLMs) have become an increasingly important tool in research and society at large. While LLMs are regularly used all over the world by experts and lay-people alike, they are predominantly developed with English-speaking users in mind, performing well in English and other wide-spread languages while less-resourced languages such as Luxembourgish are seen as a lower priority. This lack of attention is also reflected in the sparsity of available evaluation tools and datasets. In this study, we investigate the viability of language proficiency exams as such evaluation tools for the Luxembourgish language. We find that large models such as Claude and DeepSeek-R1 typically achieve high scores, while smaller models show weak performances. We also find that the performances in such language exams can be used to predict performances in other NLP tasks in Luxembourgish.</t>
  </si>
  <si>
    <t>Cedric Lothritz; Jordi Cabot; Laura Bernardy</t>
  </si>
  <si>
    <t>Cedric Lothritz</t>
  </si>
  <si>
    <t>516-FIND</t>
  </si>
  <si>
    <t>Unveiling Decision-Making in LLMs for Text Classification : Extraction of influential and interpretable concepts with Sparse Autoencoders</t>
  </si>
  <si>
    <t>Sparse Autoencoders (SAEs) have been successfully used to probe Large Language Models (LLMs) and extract interpretable concepts from their internal representations. These concepts are linear combinations of neuron activations that correspond to human-interpretable features. In this paper, we investigate the effectiveness of SAE-based explainability approaches for sentence classification, a domain where such methods have not been extensively explored. We present a novel SAE-based model \verb|ClassifSAE| tailored for text classification, leveraging a specialized classifier head and incorporating an activation rate sparsity loss. We benchmark this architecture against established methods such as ConceptShap, Independent Component Analysis, HI-Concept and a standard TopK-SAE baseline. Our evaluation covers several classification benchmarks and backbone LLMs. We further enrich our analysis with two novel metrics for measuring the precision of concept-based explanations, using an external sentence encoder. Our empirical results show that \verb|ClassifSAE| improves both the causality and interpretability of the extracted features.</t>
  </si>
  <si>
    <t>Mathis Le Bail; JГ©rГ©mie Dentan; Davide Buscaldi; Vanier Sonia</t>
  </si>
  <si>
    <t>Mathis Le Bail</t>
  </si>
  <si>
    <t>523-FIND</t>
  </si>
  <si>
    <t>MathMist: A Parallel Multilingual Benchmark Dataset for Mathematical Problem Solving and Reasoning</t>
  </si>
  <si>
    <t>Mathematical reasoning remains one of the most challenging domains for large language models (LLMs), requiring not only linguistic understanding but also structured logical deduction and numerical precision. While recent LLMs demonstrate strong general-purpose reasoning abilities, their mathematical competence across diverse languages remains underexplored. Existing benchmarks primarily focus on English or a narrow subset of high-resource languages, leaving significant gaps in assessing multilingual and cross-lingual mathematical reasoning. To address this, we introduce MathMist, a parallel multilingual benchmark for mathematical problem solving and reasoning. MathMist encompasses over 21K aligned questionвЂ“answer pairs across seven languages, representing a balanced coverage of high-, medium-, and low-resource linguistic settings. The dataset captures linguistic variety, multiple types of problem settings, and solution synthesizing capabilities. We systematically evaluate a diverse suite of models, including open-source small and medium LLMs, proprietary systems, and multilingual-reasoning-focused models, under zero-shot, chain-of-thought (CoT), and code-switched reasoning paradigms. Our results reveal persistent deficiencies in LLMsвЂ™ ability to perform consistent and interpretable mathematical reasoning across languages, with pronounced degradation in low-resource settings. All the codes and data are available at GitHub: https://anonymous.4open.science/r/MathMist-3103</t>
  </si>
  <si>
    <t>Mahbub E Sobhani; Md. Faiyaz Abdullah Sayeedi; Tasnim Mohiuddin; Md Mofijul Islam; Swakkhar Shatabda</t>
  </si>
  <si>
    <t>Mahbub E Sobhani</t>
  </si>
  <si>
    <t>532-FIND</t>
  </si>
  <si>
    <t>Enhancing Reliability in Community Question Answering with an Expert-Oriented RAG System</t>
  </si>
  <si>
    <t>In recent years, pre-trained large language models (LLMs) have become a cornerstone for automatically generating answers in question-and-answer (Q&amp;A) communities, significantly reducing user wait times and improving response quality. However, these models require substantial computational resources and are prone to generating hallucinated or unreliable content. To overcome these limitations, we propose an advanced expert-oriented Retrieval-Augmented Generation (RAG) framework as a cost-effective and reliable alternative. Central to our approach is a user-aware question entailment recognition module, which leverages user modeling to identify archived questions with answers that fully or partially address the user's new query. This user modeling significantly improves retrieval relevance, resulting in reduced hallucination and enhanced answer quality. The framework synthesizes expert-written answers from similar questions to generate unified responses. Experimental results on the CQADupStack and SE-PQA datasets show the superiority of our user-aware approach over its user-agnostic counterpart, with ROUGE-1 gains of 3.6% and 0.9%. Both human and AI evaluations confirm the effectiveness of incorporating user modeling in minimizing hallucination and delivering contextually appropriate answers, demonstrating its potential for real-world Q&amp;A systems. The code and data are available on a GitHub repository at https://anonymous.4open.science/r/User-Oriented-RAG-CQA.</t>
  </si>
  <si>
    <t>Seyyede Zahra Aftabi; Saeed Farzi</t>
  </si>
  <si>
    <t>Saeed Farzi</t>
  </si>
  <si>
    <t>539-FIND</t>
  </si>
  <si>
    <t>Binary Token-Level Classification with DeBERTa for All-Type MWE Identification: A Lightweight Approach with Linguistic Enhancement</t>
  </si>
  <si>
    <t>We present a comprehensive approach for multiword expression (MWE) identification that combines binary token-level classification, linguistic feature integration, and data augmentation. Our DeBERTa-v3-large model achieves 69.8% F1 on the CoAM dataset, surpassing the best results (Qwen-72B, 57.8% F1) on this dataset by 12 points while using 165 times fewer parameters. We achieve this performance by (1) reformulating detection as binary token-level START/END/INSIDE classification rather than span-based prediction, (2) incorporating NP chunking and dependency features that help discontinuous and NOUN-type MWEs identification, and (3) applying oversampling that addresses severe class imbalance in the training data. These results demonstrate that carefully designed smaller models can substantially outperform LLMs on structured NLP tasks, with important implications for resource-constrained deployments.</t>
  </si>
  <si>
    <t>Diego Rossini; Lonneke van der Plas</t>
  </si>
  <si>
    <t>Diego Rossini</t>
  </si>
  <si>
    <t>548-FIND</t>
  </si>
  <si>
    <t>Seeing All Sides: Multi-Perspective In-Context Learning for Subjective NLP</t>
  </si>
  <si>
    <t>Modern language models excel at factual reasoning but struggle with value diversity: the multiplicity of plausible human perspectives. Tasks such as hate speech or sexism detection expose this limitation, where human disagreement captures the diversity of perspectives that models need to account for, rather than dataset noise. In this paper, we explore whether multi-perspective in-context learning (ICL) can align large language models (LLMs) with this diversity without parameter updates. We evaluate four LLMs on five datasets across three languages (English, Arabic, Italian), considering three label-space representations (aggregated hard, disaggregated hard, and disaggregated soft) and five demonstration selection and ordering strategies. Our multi-perspective approach outperforms standard prompting on aggregated English labels, while disaggregated soft predictions better align with human judgments in Arabic and Italian datasets.These findings highlight the importance of perspective-aware LLMs for reducing bias and polarization, while also revealing the challenges of applying ICL to socially sensitive tasks. We further probe the model faithfulness using XAI, offering insights into how LLMs handle human disagreement.</t>
  </si>
  <si>
    <t>Benedetta Muscato; Yue Li; Gizem Gezici; Zhixue Zhao; Fosca Giannotti</t>
  </si>
  <si>
    <t>Benedetta Muscato</t>
  </si>
  <si>
    <t>556-FIND</t>
  </si>
  <si>
    <t>Beyond Divergent Creativity: A Human-Based Evaluation of Creativity in Large Language Models</t>
  </si>
  <si>
    <t>Large Language Models (LLMs) are increasingly used in creative tasks. However, a formal and systematic assessment of creativity capabilities in LLMs is still missing, which limits our understanding of how capable LLMs are in generating content that is diverse and contextually relevant. The widely used Divergent Association Task (DAT) focuses on novelty, ignoring appropriateness, a core component of creativity. We evaluate a range of state-of-the-art LLMs on DAT and show that their results on the task are lower than those of two baselines that do not possess any creative abilities, highlighting its critical shortcomings. Grounded in human creativity theory, which defines creativity as the combination of novelty and appropriateness, we introduce the Conditional Divergent Association Task (CDAT). CDAT conditions novelty on cue appropriateness, separating noise from creativity better than DAT, while remaining simple and objective. Under CDAT, smaller model families often show most creativity, whereas advanced families favor appropriateness at lower novelty; We hypothesize training and alignment likely shift models along this frontier, making outputs more appropriate but less creative. We will release the dataset and code to ensure reproducibility.</t>
  </si>
  <si>
    <t>Kumiko Nakajima; Jan Zuiderveld; Sandro Pezzelle</t>
  </si>
  <si>
    <t>Kumiko Nakajima</t>
  </si>
  <si>
    <t>559-FIND</t>
  </si>
  <si>
    <t>Are Multimodal LLMs Movie Buffs?</t>
  </si>
  <si>
    <t>No. Whilst Multimodal Large Language Models (MLLMs) have been shown to perform very well on general video data, we systematically show that their performance on movies lags behind. This is surprising as MLLMs are increasingly used for movie understanding. To measure the performance of MLLMs on movies, we explore three pillars of movie mastery: movie knowledge, cinematographic knowledge, and critical analysis. Through a combination of quantitative and in-depth qualitative evaluations we identify where MLLMs show promise and, in particular, where they fail. Our findings show that in small-scale settings involving factual knowledge, MLLMs are able to outperform existing methods. However, once cinematographic and critical analysis is required, MLLMs are insufficiently able to extract meaningful information from the visual modality to be able to provide useful insights.</t>
  </si>
  <si>
    <t>Carlo Bretti; Pascal Mettes; Nanne Van Noord</t>
  </si>
  <si>
    <t>Carlo Bretti</t>
  </si>
  <si>
    <t>569-FIND</t>
  </si>
  <si>
    <t>MIMIC: Multi-party Dialogue Augmentation via Speaker Stylistic Transfer</t>
  </si>
  <si>
    <t>Annotated data scarcity has long hindered progress in dialogue discourse parsing. To fill this gap, we introduce MIMIC, a framework for augmenting discourse-annotated corpora via speaker stylistic transfer using Large Language Models (LLMs). MIMIC rephrases utterances while preserving discourse coherence, using the MASK metric to identify speakers for replacement that enrich structural diversity and the MIRROR method to select substitute speakers who have experienced similar discourse interactions. Experimental results on STAC and Molweni corpora show that parsers trained with MIMIC-augmented data improve both link prediction and relation classification, with consistent gains for underrepresented discourse patterns and in low-resource scenarios.</t>
  </si>
  <si>
    <t>Gaetano Cimino; Giuseppe Carenini; Vincenzo Deufemia</t>
  </si>
  <si>
    <t>Gaetano Cimino</t>
  </si>
  <si>
    <t>572-FIND</t>
  </si>
  <si>
    <t>Multilingual-To-Multimodal (M2M): Unlocking New Languages with Monolingual Text</t>
  </si>
  <si>
    <t>Multimodal models excel in English, supported by abundant imageвЂ“text and audioвЂ“text data, but performance drops sharply for other languages due to limited multilingual multimodal resources. Existing solutions rely on machine translation, while advances in multilingual text modeling remain underutilized. We introduce M2M, a lightweight alignment method that learns only a few linear layersвЂ”using English text aloneвЂ”to map multilingual text embeddings into multimodal space. Despite its simplicity, M2M matches baseline performance in English (94.9% Recall@10) and achieves strong zero-shot transfer (89.5% Recall@10 averaged across 11 languages, 10 unseen) on XTD Text-to-Image retrieval. Qualitative t-SNE visualizations show that multilingual embeddings align tightly with multimodal representations, while weight analysis reveals that the transformation reshapes embedding geometry rather than performing trivial rotations. Beyond imageвЂ“text retrieval, M2M generalizes to AudioвЂ“Text retrieval and cross-lingual Text-to-Image generation. We release code, checkpoints, and multilingual evaluation datasets (https://github.com/m2m-codebase/M2M) to facilitate further research.</t>
  </si>
  <si>
    <t>Piyush Singh Pasi</t>
  </si>
  <si>
    <t>576-FIND</t>
  </si>
  <si>
    <t>Do GUI Grounders Truly Understand UI Elements?</t>
  </si>
  <si>
    <t>Graphical User Interface (GUI) grounding is critical for effective GUI agents. Despite recent progress, key challenges remain: 1) existing grounding models and benchmarks are skewed toward web and mobile environments, neglecting desktop interfaces (especially windows); and 2) grounding capability is assessed using accuracy on a single "best" instruction per UI element. However, users can refer to a UI element in diverse valid ways -- via visual attributes, spatial relations, etc, and a capable grounding model should produce consistent outputs across such variations. Focusing on desktop environments, we introduce GUI Grounding Sensitivity Benchmark, which investigates the model sensitivity to multiple descriptions of the same UI element. We design an automatic pipeline to generate multiple valid instructions per UI element, and develop nuanced data validation methods, as frontier models even hallucinate to produce a single instruction. Evaluation of 12 models reveals they are reasonably sensitive and their performance on existing benchmarks does not reflect their true ability. Building on the insight that a given grounding model struggles more with certain instructions or relations, we introduce the GUI Grounding Diagnosis Agent, which generates challenging instructions using model feedback and iterative refinement. Our agent reports high success rate (upto 84%) in generating instructions that fail the state-of-the-art GUI grounding models.</t>
  </si>
  <si>
    <t>Surgan Jandial; Yinheng Li; Justin Wagle; Kazuhito Koishida</t>
  </si>
  <si>
    <t>Surgan Jandial</t>
  </si>
  <si>
    <t>577-FIND</t>
  </si>
  <si>
    <t>Scaling Cultural Resources for Improving Generative Models</t>
  </si>
  <si>
    <t>Generative models are known to have reduced performance in different global cultural contexts and languages. While continual data updates have been known to be conducted to improve overall model performance, bolstering and evaluating this cross-cultural competence of generative AI models requires data resources to be intentionally expanded to include global contexts and languages. In this work, we construct a multi-pronged pipeline to collect and contribute culturally salient, multilingual data. We posit that such data can assess the state of the global applicability of our models and thus, in turn, help identify and improve upon cross-cultural gaps.</t>
  </si>
  <si>
    <t>Hayk Stepanyan; Aishwarya Verma; Andrew Zaldivar; Rutledge Chin Feman; Erin MacMurray van Liemt; Charu Kalia; Vinodkumar Prabhakaran; Sunipa Dev</t>
  </si>
  <si>
    <t>Hayk Stepanyan</t>
  </si>
  <si>
    <t>578-FIND</t>
  </si>
  <si>
    <t>Ensemble Privacy Defense for Knowledge-Intensive LLMs against Membership Inference Attacks</t>
  </si>
  <si>
    <t>Retrieval-Augmented Generation (RAG) and Supervised Finetuning (SFT) have become the predominant paradigms for equipping Large Language Models (LLMs) with external knowledge for diverse, knowledge-intensive tasks. However, while such knowledge injection improves performance, it also exposes new attack surfaces. Membership Inference Attacks (MIAs), which aim to determine whether a given data sample was included in a model's training set, pose serious threats to privacy and trust in sensitive domains. To this end, we first systematically evaluate the vulnerability of RAG- and SFT-based LLMs to various MIAs. Then, to address the privacy risk, we further introduce a novel, model-agnostic defense framework, Ensemble Privacy Defense (EPD), which aggregates and evaluates the outputs of a knowledge-injected LLM, a base LLM, and a dedicated judge model to enhance resistance against MIAs. Comprehensive experiments show that, on average, EPD reduces MIA success by up to 27.8% for SFT and 526.3% for RAG compared to inference-time baseline, while maintaining answer quality.</t>
  </si>
  <si>
    <t>Haowei Fu; Bo Ni; Han Xu; Kunpeng Liu; Dan Lin; Tyler Derr</t>
  </si>
  <si>
    <t>Haowei Fu</t>
  </si>
  <si>
    <t>585-FIND</t>
  </si>
  <si>
    <t>SAGE : A Top-Down Bottom-Up Knowledge-Grounded User Simulator for Multi-turn Agent Evaluation</t>
  </si>
  <si>
    <t>Evaluating multi-turn interactive agents is challenging due to the need for human assessment. Evaluation with simulated users has been introduced as an alternative, however existing approaches typically model generic users and overlook the domain-specific principles required to capture realistic behavior. We propose SAGE, a novel user Simulation framework for multi-turn AGent Evaluation that integrates knowledge from business contexts. SAGE incorporates top-down knowledge rooted in business logic, such as ideal customer profiles, grounding user behavior in realistic customer personas. We further integrate bottom-up knowledge taken from business agent infrastructure (e.g., product catalogs, FAQs, and knowledge bases), allowing the simulator to generate interactions that reflect users' information needs and expectations in a companyвЂ™s target market. Through empirical evaluation, we find that this approach produces interactions that are more realistic and diverse, while also identifying up to 33% more agent errors, highlighting its effectiveness as an evaluation tool to support bug-finding and iterative agent improvement.</t>
  </si>
  <si>
    <t>Ryan Shea; Yunan Lu; Liang Qiu; Zhou Yu</t>
  </si>
  <si>
    <t>Ryan Shea</t>
  </si>
  <si>
    <t>592-FIND</t>
  </si>
  <si>
    <t>Better as Generators Than Classifiers: Leveraging LLMs and Synthetic Data for Low-Resource Multilingual Classification</t>
  </si>
  <si>
    <t>Large Language Models (LLMs) have demonstrated remarkable multilingual capabilities, making them promising tools in both high- and low-resource languages. One particularly valuable use case is generating synthetic samples that can be used to train smaller models in low-resource scenarios where human-labelled data is scarce. In this work, we investigate whether these synthetic data generation capabilities can serve as a form of distillation, producing smaller models that perform on par with or even better than massive LLMs across languages and tasks. To this end, we use a state-of-the-art multilingual LLM to generate synthetic datasets covering 11 languages and 4 classification tasks. These datasets are then used to train smaller models via fine-tuning or instruction tuning, or as synthetic in-context examples for compact LLMs. Our experiments show that even small amounts of synthetic data enable smaller models to outperform the large generator itself, particularly in low-resource languages. Overall, the results suggest that LLMs are best utilised as generators (teachers) rather than classifiers, producing data that empowers smaller and more efficient multilingual models.</t>
  </si>
  <si>
    <t>Branislav Pecher; Jan Cegin; Robert Belanec; Ivan Srba; Jakub Simko; Maria Bielikova</t>
  </si>
  <si>
    <t>Branislav Pecher</t>
  </si>
  <si>
    <t>601-FIND</t>
  </si>
  <si>
    <t>Dimension-First Evaluation of Voice Assistants: Human Chain-of-Thought and Structured Judges</t>
  </si>
  <si>
    <t>Evaluating spoken assistants requires judging \emph{content} (C), \emph{voice quality} (VQ), and \emph{paralinguistics} (EQ). Most benchmarks collapse these dimensions into a single overall preference. We show this creates artifacts (forced winners and untyped ties) that overweight textual content and make overall accuracy "hackable" by transcript-only judges. To address this, we re-annotate two public datasets using a Human Chain-of-Thought (HCoT) protocol that elicits \emph{dimension-first} judgments with \emph{typed ties} (\emph{both-good} vs. \emph{both-bad}). This yields reliable, diagnostic labels validated under a protocol aligned with ITU-T guidance on separate dimension ratings. Building on HCoT, we propose \emph{JSON-Judge}, a training-free, two-stage evaluator: (i) assemble a compact JSON blueprint of inexpensive, off-the-shelf signals for C/VQ/EQ; (ii) prompt an LLM for per-dimension decisions, which a deterministic rule maps to the overall label. Across SpeakBench and S2S-Arena, JSON-Judge attains higher overall agreement with HCoT than transcript-only and audio-LLM judges and delivers stronger EQ fidelity, while being \emph{significantly cheaper than audio-LLM judges}. We will release the HCoT re-annotations and the JSON blueprints/prompts, providing a scalable, interpretable, and human-centric framework for evaluating voice assistants.</t>
  </si>
  <si>
    <t>Arjun Chandra; Kevin Miller; Venkatesh Ravichandran; Constantinos Papayiannis; Venkatesh Saligrama</t>
  </si>
  <si>
    <t>Kevin Miller</t>
  </si>
  <si>
    <t>605-FIND</t>
  </si>
  <si>
    <t>Improving Chain-of-Thought for Logical Reasoning via Attention-Aware Intervention</t>
  </si>
  <si>
    <t>Modern logical reasoning with LLMs primarily relies on employing complex interactive frameworks that decompose the reasoning process into subtasks solved through carefully designed prompts or requiring external resources (e.g., symbolic solvers) to exploit their strong logical structures. While interactive approaches introduce additional overhead, hybrid approaches depend on external components, which limit their scalability. A non-interactive, end-to-end framework enables reasoning to emerge within the model itself---improving generalization while preserving analyzability without any external resources. In this work, we introduce a non-interactive, end-to-end framework for logical reasoning. We show that introducing structural information into the few-shot prompt activates a subset of attention heads that patterns aligned with logical reasoning operators. Building on this insight, we propose Attention-aware Intervention (AAI), a method that reweights attention scores across selected heads identified by their logical patterns. AAI offers an efficient way to steer the modelвЂ™s reasoning toward leveraging prior knowledge through attention modulation. Extensive experiments show that AAI enhances logical reasoning performance on three well-known benchmarks, including ProofWriter, PrOntoQA, and Logical Deduction, across model architectures and sizes while introducing no additional computational overhead.</t>
  </si>
  <si>
    <t>Phuong Minh Nguyen; Dang Huu-Tien; Naoya Inoue</t>
  </si>
  <si>
    <t>Nguyen Minh Phuong</t>
  </si>
  <si>
    <t>608-FIND</t>
  </si>
  <si>
    <t>Thinking Long, but Short: Stable Sequential Test-Time Scaling for Large Reasoning Models</t>
  </si>
  <si>
    <t>Sequential test-time scaling is a promising training-free method to improve large reasoning model accuracy, but as currently implemented, significant limitations have been observed. Inducing models to think for longer can increase their accuracy, but as the length of reasoning is further extended, it has also been shown to result in accuracy degradation and model instability. This work presents a novel sequential test-time scaling method, Min-Seek, which improves model accuracy significantly, over a wide range of induced thoughts, stabilizing the accuracy of sequential scaling, and removing the need for reasoning length fine-tuning. Beyond improving model accuracy over a variety of reasoning tasks, our method is inherently efficient, as only the KV pairs of one additional induced thought are kept in the KV cache during reasoning. With a custom KV cache which stores keys without position embeddings, by dynamically encoding them contiguously before each new generated thought, our method can continue to reason well beyond a model's maximum context length, and under mild conditions has linear computational complexity.</t>
  </si>
  <si>
    <t>Michael R. Metel; Yufei Cui; Boxing Chen; Prasanna Parthasarathi</t>
  </si>
  <si>
    <t>Michael R. Metel</t>
  </si>
  <si>
    <t>619-FIND</t>
  </si>
  <si>
    <t>Multi-Agent Procedural Graph Extraction with Structural and Logical Refinement</t>
  </si>
  <si>
    <t>Automatically extracting workflows as procedural graphs from natural language is a promising yet underexplored task that requires ensuring both structural validity and logical alignment. Recent advances in large language models (LLMs) show potential for graph extraction, but often yield ill-formed structures or misinterpret logical constructs such as gateways. We introduce \model{}, a multi-agent framework that treats procedural graph extraction as a multi-round reasoning process with structural and logical refinement agents. The framework operates in three iterative stages: (1) an LLM-based graph extraction phase, (2) a structural feedback phase where a simulation agent diagnoses and explains structural issues, and (3) a logical feedback phase where a semantic agent aligns semantics between flow logic and linguistic cues in the source text. Important feedback is prioritized and expressed in natural language, which is injected into the next-round prompt, enabling interpretable and controllable refinement. This modular design allows agents to target distinct error types without supervision or parameter updates. Experiments demonstrate that \model{} achieves substantial improvements in both structural correctness and logical consistency over strong baselines.</t>
  </si>
  <si>
    <t>Wangyang Ying; Yanchi Liu; Xujiang Zhao; Wei Cheng; Zhengzhang Chen; Wenchao Yu; Yanjie Fu; Haifeng Chen</t>
  </si>
  <si>
    <t>Yanchi Liu</t>
  </si>
  <si>
    <t>629-FIND</t>
  </si>
  <si>
    <t>Analyzing Instruction Optimization in LLM-based Pipelines for Tabular Fact Verification</t>
  </si>
  <si>
    <t>Instruction optimization provides a lightweight, model-agnostic approach to enhancing the reasoning performance of large language models (LLMs). This paper presents the first systematic comparison of instruction optimization for tabular fact verification, a task that requires numerical, compositional, and schema-grounded reasoning over structured data. We evaluate four prompting paradigms, direct prediction, Chain-of-Thought (CoT), ReAct with SQL tools, and CodeAct with Python execution, across three benchmarks (TabFact, PubHealthTab, SciTab) and two model families. Using the DSPy framework, we study three optimizers: COPRO, MiPROv2, and SIMBA. Instruction optimization consistently improves verification accuracy, with MiPROv2 yielding the most stable gains for CoT, and SIMBA providing the largest benefits for tool-augmented agents, particularly at larger model scales. Behavioral analyzes reveal that SIMBA encourages more direct reasoning paths by applying heuristics, which enhances numerical comparison in CoT reasoning and helps avoid unnecessary tool calls in ReAct agents. Comparing different pipelines, CoT remains effective for tabular fact checking, especially with smaller models. ReAct agent built with larger models can achieve competitive performance but requires careful instruction optimization.</t>
  </si>
  <si>
    <t>Xiaotang Du; Giwon Hong; Wai-Chung Kwan; Rohit Saxena; Ivan Titov; Pasquale Minervini; Emily Allaway</t>
  </si>
  <si>
    <t>Xiaotang Du</t>
  </si>
  <si>
    <t>630-FIND</t>
  </si>
  <si>
    <t>XMAD-Bench: Cross-Domain Multilingual Audio Deepfake Benchmark</t>
  </si>
  <si>
    <t>Recent advances in audio generation led to an increasing number of deepfakes, making the general public more vulnerable to financial scams, identity theft, and misinformation. Audio deepfake detectors promise to alleviate this issue, with many recent studies reporting accuracy rates close to 99%. However, these methods are typically tested in an in-domain setup, where the deepfake samples from the training and test sets are produced by the same generative models. To this end, we introduce XMAD-Bench, a large-scale cross-domain multilingual audio deepfake benchmark comprising 668.8 hours of real and deepfake speech. In our novel dataset, the speakers, the generative methods, and the real audio sources are distinct across training and test splits. This leads to a challenging cross-domain evaluation setup, where audio deepfake detectors can be tested "in the wild". Our in-domain and cross-domain experiments indicate a clear disparity between the in-domain performance of deepfake detectors, which is usually as high as 100%, and the cross-domain performance of the same models, which is sometimes similar to random chance. Our benchmark highlights the need for the development of robust audio deepfake detectors, which maintain their generalization capacity across different languages, speakers, generative methods, and data sources. Our benchmark is publicly released at https://anonymous.4open.science/r/XMAD-Bench-detection/.</t>
  </si>
  <si>
    <t>Ioan-Paul Ciobanu; Andrei-Iulian HГ®ji; Nicolae Catalin Ristea; Paul Irofti; Cristian Rusu; Radu Tudor Ionescu</t>
  </si>
  <si>
    <t>Radu Tudor</t>
  </si>
  <si>
    <t>639-FIND</t>
  </si>
  <si>
    <t>BayesFlow: A Probability Inference Framework for Meta-Agent Assisted Workflow Generation</t>
  </si>
  <si>
    <t>Automatic workflow generation is the process of automatically synthesizing sequences of LLM calls, tool invocations, and post-processing steps for complex end-to-end tasks. Most prior methods cast this task as an optimization problem with limited theoretical grounding. We propose to cast workflow generation as Bayesian inference over a posterior distribution on workflows, and introduce \textbf{Bayesian Workflow Generation (BWG)}, a sampling framework that builds workflows step-by-step using parallel look-ahead rollouts for importance weighting and a sequential in-loop refiner for pool-wide improvements. We prove that, without the refiner, the weighted empirical distribution converges to the target posterior. We instantiate BWG as \textbf{BayesFlow}, a training-free algorithm for workflow construction. Across six benchmark datasets, BayesFlow improves accuracy by up to 9 percentage points over SOTA workflow generation baselines and by up to 65 percentage points over zero-shot prompting, establishing BWG as a principled upgrade to search-based workflow design.</t>
  </si>
  <si>
    <t>Bo Yuan; Yun Zhou; Zhichao Xu; Kiran Ramnath; Aosong Feng; Balasubramaniam Srinivasan</t>
  </si>
  <si>
    <t>Bo Yuan</t>
  </si>
  <si>
    <t>645-FIND</t>
  </si>
  <si>
    <t>PagedEviction: Structured Block-wise KV Cache Pruning for Efficient Large Language Model Inference</t>
  </si>
  <si>
    <t>KV caching significantly improves the efficiency of Large Language Model (LLM) inference by storing attention states from previously processed tokens, enabling faster generation of subsequent tokens. However, as sequence length increases, the KV cache quickly becomes a major memory bottleneck. To address this, we propose PagedEviction, a novel fine-grained, structured KV cache pruning strategy that enhances the memory efficiency of vLLMвЂ™s PagedAttention. Unlike existing approaches that rely on attention-based token importance or evict tokens across different vLLM pages, PagedEviction introduces an efficient block-wise eviction algorithm tailored for paged memory layouts. Our method integrates seamlessly with PagedAttention without requiring any modifications to its CUDA attention kernels. We evaluate PagedEviction across Llama-3.1-8B-Instruct, Llama-3.2-1B-Instruct, and Llama-3.2-3B-Instruct models on the LongBench benchmark suite, demonstrating improved memory usage with better accuracy than baselines on long context tasks.</t>
  </si>
  <si>
    <t>Krishna Teja Chitty-Venkata; Jie Ye; Siddhisanket Raskar; Anthony Kougkas; Xian Sun; Murali Emani; Venkatram Vishwanath; Bogdan Nicolae</t>
  </si>
  <si>
    <t>Bogdan Nicolae</t>
  </si>
  <si>
    <t>647-FIND</t>
  </si>
  <si>
    <t>SMART-Editor: A Multi-Agent Framework for Human-Like Design Editing with Structural Integrity</t>
  </si>
  <si>
    <t>Despite significant progress in natural image editing with state-of-the-art MLLMs, compositional layout and content editing for structured visual domains (e.g., posters, websites) remains underexplored. In this work, we introduce SMART-EDITOR, a multi-agent framework for compositional editing for structured images like posters or websites. Unlike prior models that focus on isolated local edits, SMART-EDITOR maintains global coherence through two complementary strategies: Reward-Refine, an inference-time reward-guided refinement method, and RewardDPO, a training-time preference optimization approach leveraging reward-aligned layout pairs. To evaluate performance, we introduce SMARTEdit-Bench, a benchmark of cascading multi-step edit instructions that are implicit in nature yet require layout and semantic-consistency preserving reasoning about edit order to preserve spatial and semantic consistency. Both automatic and human evaluations confirm the value of reward-guided planning in producing semantically consistent and visually coherent edits, beyond what single-shot VLMs can generate.</t>
  </si>
  <si>
    <t>Ishani Mondal; Meera Bharadwaj; Ayush Roy; Aparna Garimella; Jordan Lee Boyd-Graber</t>
  </si>
  <si>
    <t>Ishani Mondal</t>
  </si>
  <si>
    <t>662-FIND</t>
  </si>
  <si>
    <t>DRIVINGVQA: A Dataset for Interleaved Visual Chain-of-Thought in Real-World Driving Scenarios</t>
  </si>
  <si>
    <t>While chain-of-thought (CoT) prompting improves reasoning in large language models, its effectiveness in vision-language models (VLMs) remains limited due to over-reliance on textual cues and memorized knowledge. To investigate the visual reasoning capabilities of VLMs in complex real-world scenarios, we introduce DrivingVQA, a visual question answering dataset derived from driving theory exams, which contains 3,931 multiple-choice problems with expert-written explanations and grounded entities relevant to the reasoning process. Leveraging this dataset, we explore the benefits of incorporating entity-related information, such as entity names, spatial coordinates, and visual content, through supervised fine-tuning to enhance the modelХs reasoning abilities. Our experiments demonstrate that interleaving textual explanations with visual tokens extracted from entities relevant to the question improves answer accuracy by 3.1% and reasoning accuracy by 4.6% over vanilla CoT prompting. Furthermore, we demonstrate that this retrieval-based approach effectively scales to the larger A-OKVQA reasoning dataset by leveraging automatically generated pseudo-labels, outperforming CoT prompting.</t>
  </si>
  <si>
    <t>Charles CorbiЏre; Simon Roburin; Syrielle Montariol; Antoine Bosselut; Alexandre Alahi</t>
  </si>
  <si>
    <t>Syrielle Montariol</t>
  </si>
  <si>
    <t>663-FIND</t>
  </si>
  <si>
    <t>Steerable Agentic Data Generation for Deep Search with Execution Feedback</t>
  </si>
  <si>
    <t>Deep search, which aims to answer complicated questions requiring searching for and reasoning across multiple documents, is becoming one of the most important agentic use-cases. Yet, it is not scalable to leverage human annotations to collect deep search data due to long and complex exploration trajectories. We propose an agentic pipeline to automatically generate high-quality deep search question answer pairs for a given corpus. Our initial data generator agent is able to produce QA pairs that need multiple rounds of search based on an input document. To further improve the steer-ability of our data generation framework, we 1) add a natural language prompt to specify a level of difficulty; 2) incorporate the execution traces from a task execution agent as feedback to correct undesirable data. Our intrinsic evaluation shows our framework significantly increases the correctness and difficulty of the generated data. Our extrinsic evaluation demonstrates that compared to training with existing large-scale training data, our data improved the trained search agent with &gt;15% gains across in-domain and out-of-domain complex question answering datasets on two model sizes. Analysis shows that our pipeline generates questions that require diverse reasoning strategies.</t>
  </si>
  <si>
    <t>Fangyuan Xu; Rujun Han; Yanfei Chen; Zifeng Wang; I-Hung Hsu; Jun Yan; Vishy Tirumalashetty; Eunsol Choi; Tomas Pfister; Chen-Yu Lee</t>
  </si>
  <si>
    <t>Rujun Han</t>
  </si>
  <si>
    <t>664-FIND</t>
  </si>
  <si>
    <t>Negative-Aware Diffusion Process for Temporal Knowledge Graph Extrapolation</t>
  </si>
  <si>
    <t>Temporal Knowledge Graph (TKG) reasoning seeks to predict future missing facts from historical evidence. While diffusion models (DM) have recently shown strong capacity to capture complex distributions in this setting, two gaps remain: (i) the generative path is conditioned only on positive evidence, overlooking informative negative context, and (ii) training objectives are dominated by cross-entropy ranking, which improves candidate ordering but provides little supervision over the calibration of the denoised embedding. To bridge this gap, we introduce Negative-Aware Diffusion model for TKG Extrapolation (NADEx). Specifically, NADEx encodes subject-centric histories of entities, relations, and temporal intervals into sequential embeddings. NADEx perturbs the query object in the forward process and reconstructs it in reverse with a Transformer denoiser conditioned on the temporalвЂ“relational context. We further derive a cosine-alignment regularizer derived from batch-wise negative prototypes, which tightens the decision boundary against implausible candidates. Comprehensive experiments on four public TKG benchmarks demonstrate that NADEx delivers state-of-the-art improvements.</t>
  </si>
  <si>
    <t>Yanglei Gan; Peng He; Yuxiang Cai; Run Lin; Guanyu Zhou; Qiao Liu</t>
  </si>
  <si>
    <t>Yanglei Gan</t>
  </si>
  <si>
    <t>669-FIND</t>
  </si>
  <si>
    <t>DashboardQA: Benchmarking Multimodal Agents for Question Answering on Interactive Dashboards</t>
  </si>
  <si>
    <t>Dashboards are powerful visualization tools for data-driven decision-making, integrating multiple interactive views that allow users to explore, filter, and navigate data. Unlike static charts, dashboards support rich interactivity, which is essential for uncovering insights in real-world analytical workflows. However, existing question-answering benchmarks for data visualizations largely overlook this interactivity, focusing instead on static charts. This limitation severely constrains their ability to evaluate the capabilities of modern multimodal agents designed for GUI-based reasoning. To address this gap, we introduce DashboardQA, the first benchmark explicitly designed to assess how vision-language GUI agents comprehend and interact with real-world dashboards. The benchmark includes 292 tasks on 112 interactive dashboards, encompassing 405 question answer pairs overall. These questions span five categories: multiple-choice, factoid, hypothetical, multi-dashboard, and conversational. By assessing a variety of leading closed- and open-source GUI agents, our analysis reveals their key limitations, particularly in grounding dashboard elements, planning interaction trajectories, and performing reasoning. Our findings indicate that interactive dashboard reasoning is a challenging task overall for all the VLMs evaluated. Even the top-performing agents struggle; for instance, the best agent based on Gemini-Pro-2.5 achieves only 38.69% accuracy, while the OpenAI CUA agent reaches just 22.69%, demonstrating the benchmark's significant difficulty. We release DashboardQA at ..</t>
  </si>
  <si>
    <t>Aaryaman Kartha; Ahmed Masry; Mohammed Saidul Islam; Thinh Lang; Shadikur Rahman; Ridwan Mahbub; Mizanur Rahman; Mahir Ahmed; Md Rizwan Parvez; Enamul Hoque; Shafiq Joty</t>
  </si>
  <si>
    <t>Ahmed Masry</t>
  </si>
  <si>
    <t>670-FIND</t>
  </si>
  <si>
    <t>Reasoning about Uncertainty: Do Reasoning Models Know When They Don't Know?</t>
  </si>
  <si>
    <t>Reasoning language models have set state-of-the-art (SOTA) records on many challenging benchmarks, enabled by multi-step reasoning induced by reinforcement learning. However, reasoning models are prone to generating confident, plausible responses that are incorrect (hallucinations). Knowing when and how much to trust these models is critical for safe deployment in real-world applications. To this end, we explore uncertainty quantification (UQ) of reasoning models in this work. We ask three fundamental questions: First, are reasoning models well-calibrated? Second, does deeper reasoning improve model calibration? Finally, inspired by humansвЂ™ innate ability to double-check their thought processes to verify the validity of their answers and their confidence, we ask: can reasoning models improve their calibration by explicitly reasoning about their chain-of-thought traces? We introduce introspective uncertainty quantification (IUQ) to explore this direction. In extensive evaluations on SOTA reasoning models across a broad range of benchmarks, we find that reasoning models: (i) are typically overconfident, (ii) become even more overconfident with deeper reasoning, and (iii) can become better calibrated through introspection (e.g., o3-Mini and DeepSeek R1) but not uniformly (e.g., Claude 3.7 Sonnet becomes more poorly calibrated). We conclude with important research directions to design necessary UQ benchmarks and improve the calibration of reasoning models.</t>
  </si>
  <si>
    <t>Zhiting Mei; Christina Zhang; Tenny Yin; Justin Lidard; Ola Sho; Anirudha Majumdar</t>
  </si>
  <si>
    <t>Tenny Yin</t>
  </si>
  <si>
    <t>673-FIND</t>
  </si>
  <si>
    <t>AfriMMT-EA: Multi-domain Machine Translation for Low-Resource East African Languages</t>
  </si>
  <si>
    <t>Despite remarkable progress in multilingual machine translation (MT), the majority of African---especially East African---languages remain significantly underrepresented both in benchmark datasets and state-of-the-art (SOTA) MT models. This persistent exclusion from mainstream technologies not only limits equitable access, but constrains the development of tools that accurately reflect the regionвЂ™s linguistic and cultural diversity. Recent advances in open-source large language models have demonstrated strong multilingual MT capabilities through data-efficient adaptation strategies. However, little work has explored their potential for low-resource African languages. We introduce AfriMMT-EA, the first highly multilingual benchmark and MT dataset for East African languages. Our datasets comprise 54 local languages across five East African countries. We used these data to fine-tune two multilingual versions of Gemma-3. We compare models' performance on these languages with larger off-the-shelf baselines. We release our data and models, in the interest of advancing MT for these low-resource languages and their communities.</t>
  </si>
  <si>
    <t>Naome A Etori; Kelechi Ezema; Nathaniel Romney Robinson; Davis David; Alfred Malengo Kondoro; Elisha Ondieki Makori; Michael Samwel Mollel; Maria Gini</t>
  </si>
  <si>
    <t>Naome A. Etori</t>
  </si>
  <si>
    <t>674-FIND</t>
  </si>
  <si>
    <t>Diffusion Language Model Inference with Monte Carlo Tree Search</t>
  </si>
  <si>
    <t>Diffusion language models (DLMs) have recently emerged as a compelling alternative to autoregressive generation, offering parallel generation and improved global coherence. During inference, DLMs generate text by iteratively denoising masked sequences in parallel; however, determining which positions to unmask and which tokens to commit forms a large combinatorial search problem. Existing inference methods approximate this search using heuristics, which often yield suboptimal decoding paths; other approaches instead rely on additional training to guide token selection. To introduce a principled search mechanism for DLMs inference, we introduce MEDAL, a framework that integrates Monte Carlo Tree SEarch initialization for Diffusion LAnguage Model inference. We employ Monte Carlo Tree Search at the initialization stage to explore promising unmasking trajectories, providing a robust starting point for subsequent refinement. This integration is enabled by restricting the search space to high-confidence actions and prioritizing token choices that improve model confidence over remaining masked positions. Across multiple benchmarks, MEDAL achieves up to 22.0\% improvement over existing inference strategies, establishing a new paradigm for search-based inference in diffusion language models.</t>
  </si>
  <si>
    <t>Zheng Huang; Kiran Ramnath; Yueyan Chen; Aosong Feng; Sangmin Woo; Balasubramaniam Srinivasan; Zhichao Xu; Kang Zhou; Shuai Wang; Haibo Ding; Lin Lee Cheong</t>
  </si>
  <si>
    <t>Kiran Ramnath</t>
  </si>
  <si>
    <t>689-FIND</t>
  </si>
  <si>
    <t>LitE-SQL: A Lightweight and Efficient Text-to-SQL Framework with Vector-based Schema Linking and Execution-Guided Self-Correction</t>
  </si>
  <si>
    <t>The Text-to-SQL task translates natural language questions into SQL queries, enabling intuitive database interaction for non-experts. While recent methods leveraging Large Language Models (LLMs) achieve strong performance, their reliance on proprietary models raise concerns about deployment feasibility and data privacy. In this work, we introduce LitE-SQL, a Lightweight and Efficient framework with two components: (i) a Schema Retriever that performs efficient schema linking using a vector database of pre-computed schema embeddings, and (ii) a SQL Generator fine-tuned in two stagesвЂ”supervised fine-tuning followed by execution-guided reinforcementвЂ”enabling self-correction without costly multi-candidate generation. On BIRD, LitE-SQL achieves 72.10% execution accuracy, and on Spider 1.0 it reaches 88.45%, demonstrating comparable or superior performance to LLM-based methods despite using 2Г— to 30Г— fewer parameters. Our findings demonstrate that high-quality Text-to-SQL generation is feasible with lightweight models, offering a practical solution for privacy-sensitive and resource-constrained settings.</t>
  </si>
  <si>
    <t>Shengmin Piao; Jieun Lee; Sanghyun Park</t>
  </si>
  <si>
    <t>Shengmin Piao</t>
  </si>
  <si>
    <t>699-FIND</t>
  </si>
  <si>
    <t>Unlocking Large Audio-Language Models for Interactive Language Learning</t>
  </si>
  <si>
    <t>Achieving pronunciation proficiency in a second language (L2) remains a challenge, despite the development of Computer-Assisted Pronunciation Training (CAPT) systems. Traditional CAPT systems often provide unintuitive feedback that lacks actionable guidance, limiting its effectiveness. Recent advancements in audio-language models (ALMs) offer the potential to enhance these systems by providing more user-friendly feedback. In this work, we investigate ALMs for chat-based pronunciation training by introducing \textbf{L2-Arctic-plus}, an English dataset with detailed error explanations and actionable suggestions for improvement. We benchmark cascaded ASR+LLMs and existing ALMs on this dataset, specifically in detecting mispronunciation and generating actionable feedback. To improve the performance, we further propose to instruction-tune ALMs on L2-Arctic-plus. Experimental results demonstrate that our instruction-tuned models significantly outperform existing baselines on mispronunciation detection and suggestion generation in terms of both objective and human evaluation, highlighting the value of the proposed dataset.</t>
  </si>
  <si>
    <t>Hongfu Liu; Zhouying Cui; Xiangming Gu; Ye Wang</t>
  </si>
  <si>
    <t>Cui Zhouying</t>
  </si>
  <si>
    <t>719-FIND</t>
  </si>
  <si>
    <t>MultiCW: A Large-Scale Balanced Benchmark Dataset for Training Robust Check-Worthiness Detection Models</t>
  </si>
  <si>
    <t>Large language models (LLMs) are beginning to reshape how media professionals verify information, yet automated support for detecting check-worthy claimsвЂ”a key step in the fact-checking processвЂ”remains limited. We introduce the Multi-Check-Worthy (MultiCW) dataset, a balanced multilingual benchmark for check-worthy claim detection spanning 16 languages, six topical domains, and two writing styles. It consists of 123,722 samples, evenly distributed between noisy (informal) and structured (formal) texts, with balanced representation of check-worthy and non-check-worthy classes across all languages. To probe robustness, we also introduce an equally balanced out-of-distribution evaluation set of 27,761 samples in 4 additional languages. To provide baselines, we benchmark three common fine-tuned multilingual transformers against a diverse set of 15 commercial and open LLMs under zero-shot settings. Our findings show that fine-tuned models consistently outperform zero-shot LLMs on claim classification and show strong out-of-distribution generalization across languages, domains, and styles. MultiCW provides a rigorous multilingual resource for advancing automated fact-checking and enables systematic comparisons between fine-tuned models and cutting-edge LLMs on the check-worthy claim detection task.</t>
  </si>
  <si>
    <t>Martin Hyben; Sebastian Kula; Jan Cegin; Jakub Simko; Ivan Srba; Robert Moro</t>
  </si>
  <si>
    <t>Martin Hyben</t>
  </si>
  <si>
    <t>722-FIND</t>
  </si>
  <si>
    <t>What Really Matters for Table LLMs? A Meta-Evaluation of Model and Data Effects</t>
  </si>
  <si>
    <t>Table modeling has progressed for decades. In this work, we revisit this trajectory and highlight emerging challenges in the LLM era, particularly the paradox of choice: the difficulty of attributing performance gains amid diverse base models and training sets in the context of table instruction tuning. We replicate four table LLMs by instruction-tuning three foundation models on four existing datasets, yielding 12 models. We then evaluate these models across 16 table benchmarks. Our study is the first to quantitatively disentangle the effects of training data and base model selection, revealing that base model choice plays a more dominant role than the training data itself. Generalization and reasoning remain challenging, inviting future effort on table modeling. Based on our findings, we share our thoughts on the future directions for table modeling.</t>
  </si>
  <si>
    <t>Naihao Deng; Sheng Zhang; Henghui Zhu; Shuaichen Chang; Jiani Zhang; Alexander Hanbo Li; Chung-Wei Hang; Hideo Kobayashi; Yiqun Hu; Patrick Ng</t>
  </si>
  <si>
    <t>Naihao Deng</t>
  </si>
  <si>
    <t>723-FIND</t>
  </si>
  <si>
    <t>Evaluating Morphological Plausibility of Subword Tokenization via Statistical Alignment with Morpho-Syntactic Features</t>
  </si>
  <si>
    <t>We present a novel metric for the evaluation of morphological plausibility of subword segmentation. Unlike the typically used morpheme boundary or retrieval F-score, which requires gold segmentation data that is either unavailable or of inconsistent quality across many languages, our approach utilizes morpho-syntactic features. These are available in resources such as Universal Dependencies or UniMorph for a much wider range of languages. The metric works by probabilistically aligning subwords with morphological features through an IBM Model 1. Our experiments show that the metric correlates well with traditional morpheme boundary recall while being more broadly applicable across languages with different morphological systems.</t>
  </si>
  <si>
    <t>Abishek Stephen; JindЕ™ich LibovickГЅ</t>
  </si>
  <si>
    <t>Abishek Stephen</t>
  </si>
  <si>
    <t>731-FIND</t>
  </si>
  <si>
    <t>MOSAIC: Masked Objective with Selective Adaptation for In-domain Contrastive Learning</t>
  </si>
  <si>
    <t>We introduce MOSAIC (Masked Objective with Selective Adaptation for In-domain Contrastive learning), a multi-stage framework for domain adaptation of text embedding models that incorporates joint domain-specific masked supervision. Our approach addresses the challenges of adapting large-scale general-domain text embedding models to specialized domains. By jointly optimizing masked language modeling (MLM) and contrastive objectives within a unified training pipeline, our method enables effective learning of domain-relevant representations while preserving the robust semantic discrimination properties of the original model. We empirically validate our approach on both high-resource and low-resource domains, achieving improvements up to 13.4% in NDCG@10 (Normalized Discounted Cumulative Gain) over strong general-domain baselines. Comprehensive ablation studies further demonstrate the effectiveness of each component, highlighting the importance of balanced joint supervision and staged adaptation.</t>
  </si>
  <si>
    <t>Vera Pavlova; Mohammed Makhlouf</t>
  </si>
  <si>
    <t>Vera Pavlova</t>
  </si>
  <si>
    <t>736-FIND</t>
  </si>
  <si>
    <t>The Problem of Ambiguity in Table Question Answering</t>
  </si>
  <si>
    <t>Question Answering on Tabular Data (or Table Question Answering) has seen tremendous advances with the coming of new generation Large Language Models (LLMs). Despite this, significant challenges still remain to be solved if we are to develop robust enough approaches for general usage. One of these is ambiguity in question answering, which historically has not merited much attention due to the previously limited capabilities of LLMs. In this work, we outlay the main types of ambiguousness inherent to tabular data. Then, we discuss how they are influenced by the way our models interact with the information stored in the tables, and we test the capabilities of some LLMs in detecting them. This work provides an initial ground for a deeper discussion on how to approach ambiguity in Tabular Data in the age of LLMs.</t>
  </si>
  <si>
    <t>Jorge OsГ©s Grijalba; L. Alfonso UreГ±a; Eugenio MartГ­nez-CГЎmara; Jose Camacho-Collados</t>
  </si>
  <si>
    <t>Jose Camacho Collados</t>
  </si>
  <si>
    <t>742-FIND</t>
  </si>
  <si>
    <t>Learning to Ask: Multi-Decoder Fine-Tuning for Multi-Hop Visual Question Generation with External Knowledge</t>
  </si>
  <si>
    <t>Multi-hop visual question generation (VQG) seeks to create coherent, fluent, and contextually rich questions by integrating knowledge from a structured knowledge graph (KG) with information inferred from image pairs, where at least one reasoning step involves a visual relationship between the images. Traditional supervised QG methods which rely on token-level alignment with fixed gold labels struggle to capture diverse valid question formulations. We propose $\textbf{M3RQG}$ ($\textbf{M}$ultimodal $\textbf{M}$ulti-hop $\textbf{M}$ulti-decoder $\textbf{R}$etrieval-augmented $\textbf{Q}$uestion $\textbf{G}$eneration), a model-agnostic framework that integrates multimodal inputs (images, KG facts) with a multi-decoder architecture to optimize for multiple labels per sample to design multi-hop questions. M3RQG addresses these challenges: (1) generating meaningful visually-grounded questions given a pair of images, (2) generating rich questions that require multi-hop reasoning across images and KG facts, and (3) integrating diverse question labels during fine-tuning. We extend the WebQA dataset with multi-hop questions generated by GPT-4V and Gemini, resulting in two complementary silver labels per sample. Our approach integrates retrieval-augmented generation (RAG) for accessing external knowledge, a PPO objective with ROUGE-based rewards to prioritize structural correctness, and a named entity overlap loss to improve factual accuracy. Experiments across BART, Phi-3.5, and LLaVA backbones demonstrate significant improvements in fluency, reasoning depth, and relevance. We release our code and dataset to facilitate future research.</t>
  </si>
  <si>
    <t>Arpan Phukan; Manish Gupta; Asif Ekbal</t>
  </si>
  <si>
    <t>Arpan Phukan</t>
  </si>
  <si>
    <t>743-FIND</t>
  </si>
  <si>
    <t>SLANG-GraphRAG: Multi-Layered Retrieval with Domain-Specific Knowledge for Low Resource Social Media Conversations</t>
  </si>
  <si>
    <t>Emotion classification on social media is especially difficult when texts include informal, culturally grounded language like slang. Standard NLP benchmarks often miss these nuances, particularly in low-resource settings. We present SLANG-GraphRAG, a retrieval-augmented framework that integrates a culture-specific slang knowledge graph into large language models via one-shot prompting. Using multiple retrieval strategies, we incorporate slang definitions, regional usage, and conversational context. Our results show that incorporating structured cultural knowledge into the retrieval process leads to significant improvements, improving accuracy by up to 31% and F1 score by 28%, outperforming traditional and unstructured retrieval methods. To better evaluate model behavior, we propose a probabilistic metric that reflects the distribution of human annotations, providing a more nuanced measure of performance. This highlights the value of culturally sensitive applications and more balanced evaluation in subjective NLP tasks.</t>
  </si>
  <si>
    <t>Ifeoluwa Wuraola; Daniel Marciniak; Nina Dethlefs</t>
  </si>
  <si>
    <t>Ifeoluwa Wuraola</t>
  </si>
  <si>
    <t>744-FIND</t>
  </si>
  <si>
    <t>Science Across Languages: Assessing LLM Multilingual Translation of Scientific Papers</t>
  </si>
  <si>
    <t>Scientific research is inherently global. However, the vast majority of academic journals are published exclusively in English, creating barriers for non-native-English-speaking researchers. In this study, we leverage large language models (LLMs) to translate published scientific articles while preserving their native JATS XML formatting, thereby developing a practical, automated approach for implementation by academic journals. Using our approach, we translate articles across multiple scientific disciplines into 28 languages. To evaluate translation accuracy, we introduce a novel question-and-answer (QA) benchmarking method and show an average performance of 95.9%, indicating that the key scientific details are accurately conveyed. In a user study, we translate the scientific papers of 15 researchers into their native languages. Interestingly, a third of the authors found many technical terms вЂњovertranslated,вЂќ expressing a preference to keep terminology more familiar in English untranslated. Finally, we demonstrate how in-context learning techniques can be used to align translations with domain-specific preferences such as mitigating overtranslation, highlighting the adaptability and utility of LLM-driven scientific translation.</t>
  </si>
  <si>
    <t>Hannah Calzi Kleidermacher; James Zou</t>
  </si>
  <si>
    <t>Hannah Calzi Kleidermacher</t>
  </si>
  <si>
    <t>746-FIND</t>
  </si>
  <si>
    <t>TABED: Test-Time Adaptive Ensemble Drafting for Robust Speculative Decoding in LVLMs</t>
  </si>
  <si>
    <t>Speculative decoding (SD) has proven effective for accelerating LLM inference by quickly generating draft tokens and verifying them in parallel. However, SD remains largely unexplored for Large Vision-Language Models (LVLMs), which extend LLMs to process both image and text prompts. To address this gap, we benchmark existing inference methods with small draft models on 11 datasets across diverse input scenarios and observe scenario-specific performance fluctuations. Motivated by these findings, we propose **Test-time Adaptive Batched Ensemble Drafting (TABED)**, which dynamically ensembles multiple drafts obtained via batch inference by leveraging deviations from past ground truths available in the SD setting. The dynamic ensemble method achieves an average robust walltime speedup of 1.74Г— over autoregressive decoding and a 5% improvement over single drafting methods, while remaining training-free and keeping ensembling costs negligible through parameter sharing. With its plug-and-play compatibility, we further enhance TABED by integrating advanced verification and alternative drafting methods.</t>
  </si>
  <si>
    <t>Minjae Lee; Wonjun Kang; Byeongkeun Ahn; Christian Classen; Kevin Galim; Seunghyuk Oh; Minghao Yan; Hyung Il Koo; Kangwook Lee</t>
  </si>
  <si>
    <t>Minjae Lee</t>
  </si>
  <si>
    <t>759-FIND</t>
  </si>
  <si>
    <t>KGHaluBench: A Knowledge Graph-Based Hallucination Benchmark for Evaluating the Breadth and Depth of LLM Knowledge</t>
  </si>
  <si>
    <t>Large Language Models (LLMs) possess a remarkable capacity to generate persuasive and intelligible language. However, coherence does not equate to truthfulness, as the responses often contain subtle hallucinations. Existing benchmarks are limited by static and narrow questions, leading to limited coverage and misleading evaluations. We present **KGHaluBench**, a Knowledge Graph-based hallucination benchmark that assesses LLMs across the breadth and depth of their knowledge, providing a fairer and more comprehensive insight into LLM truthfulness. Our framework utilises the KG to dynamically construct challenging, multifaceted questions, whose difficulty is then statistically estimated to address popularity bias. Our automated verification pipeline detects abstentions and verifies the LLM's response at both conceptual and correctness levels to identify different types of hallucinations. We evaluate 25 frontier models, using novel accuracy and hallucination metrics. The results provide a more interpretable insight into the knowledge factors that cause hallucinations across different model sizes. KGHaluBench is publicly available to support future developments in hallucination mitigation.</t>
  </si>
  <si>
    <t>Alex Robertson; Huizhi Liang; Mahbub Gani; Rohit Kumar; Srijith Rajamohan</t>
  </si>
  <si>
    <t>Alex Robertson</t>
  </si>
  <si>
    <t>768-FIND</t>
  </si>
  <si>
    <t>VIGiA: Instructional Video Guidance via Dialogue Reasoning and Retrieval</t>
  </si>
  <si>
    <t>We introduce VIGiA, a novel multimodal dialogue model designed to understand and reason over complex, multi-step instructional video action plans. Unlike prior work which focuses mainly on text-only guidance, or treats vision and language in isolation, VIGiA supports grounded, plan-aware dialogue that requires reasoning over visual inputs, instructional plans, and interleaved user interactions. To this end, VIGiA incorporates two key capabilities: (1) multimodal plan reasoning, enabling the model to align uni- and multimodal queries with the current task plan and respond accurately; and (2) plan-based retrieval, allowing it to retrieve relevant plan steps in either textual or visual representations. Experiments were done on a novel dataset with rich Instructional Video Dialogues aligned with Cooking and DIY plans. Our evaluation shows that VIGiA outperforms existing state-of-the-art models on all tasks in a conversational plan guidance setting, reaching over 90% accuracy on plan-aware VQA.</t>
  </si>
  <si>
    <t>Diogo GlГіria-Silva; David Semedo; Joao Magalhaes</t>
  </si>
  <si>
    <t>Diogo Glória-Silva</t>
  </si>
  <si>
    <t>776-FIND</t>
  </si>
  <si>
    <t>Attribute-Controlled Translation with Preference Optimization</t>
  </si>
  <si>
    <t>Attribute-controlled translation (ACT) seeks to produce translations that satisfy specific constraints on linguistic and stylistic attributes. While careful prompt engineering can enable large language models to perform strongly in this task, its effectiveness is mainly limited to models of very large size. For this reason, in this paper we set to improve the performance of language models of more contained size by leveraging the contrastive nature of ACT tasks with preference optimization, as well as exploiting knowledge distillation with synthetically-generated training samples from larger models. As a resource for this investigation, we also introduce PREF-FAME-MT, a large, contrastive, formality-controlled parallel corpus which has been generated by expanding the existing FAME-MT dataset with synthetic contrastive samples. Experiments conducted over three datasets for formality- and gender-controlled translation with 71 distinct language pairs have demonstrated the effectiveness of the proposed approach at simultaneously improving attribute matching and translation quality. We release all our code and datasets to allow reproduction and expansion of our work.</t>
  </si>
  <si>
    <t>Inigo Jauregi Unanue; Najmeh Sadoughi; Vimal Bhat; Zhu Liu; Massimo Piccardi</t>
  </si>
  <si>
    <t>Inigo Jauregi Unanue</t>
  </si>
  <si>
    <t>780-FIND</t>
  </si>
  <si>
    <t>ReciFine: Finely Annotated Recipe Dataset for Controllable Recipe Generation</t>
  </si>
  <si>
    <t>We introduce ReciFine, the largest human-evaluated, finely annotated recipe dataset to date, designed to advance controllable and trustworthy recipe generation. Existing resources, such as RecipeNLG, extract food items only from ingredient lists, overlooking entities expressed in instructions, including tools, chef actions, food and tool states, and durations, which are crucial for realistic and context-aware generation. To address this limitation, we extend RecipeNLG with finely annotated extraction of over 97 million entities across ten entity types from 2.2 million recipes. We are the first to explore recipe generation with explicit control over multiple entity types, enabling models to generate recipes conditioned not only on ingredients but also on tools, chef actions, cooking durations, and other contextual factors. Large language models fine-tuned or few-shot prompted with ReciFine extractions consistently outperform those trained on ingredient-list data alone across both automatic and human evaluations. ReciFine establishes a foundation for factual, coherent, structured, controllable recipe generation, and we release a human-annotated benchmark to support future evaluation and model development.</t>
  </si>
  <si>
    <t>Nuhu Ibrahim; Rishi Ravikumar; Robert Stevens; Riza Batista-Navarro</t>
  </si>
  <si>
    <t>783-FIND</t>
  </si>
  <si>
    <t>ReBPE: Iteratively Improving the Internal Structure of a Structured Tokeniser by Mining its Internal Structure</t>
  </si>
  <si>
    <t>Recent work has explored pruning merges from BPE subword tokenisers using signals from corpus data. We argue that because a BPE tokeniser contains a rich data structure on top of its vocabulary set, this in itself can be used as a guide to modify its merges such that segmentations become more desirable. We apply this argument to one of those pruning algorithms, BPE-knockout, by introducing a new reification step that suggests new merges by inspecting the effects left by pruning. By alternating both processes iteratively until convergence, we get a new BPE tokeniser, ReBPE, which outperforms the original BPE-knockout algorithm on morphological alignment.</t>
  </si>
  <si>
    <t>Thomas Bauwens; Miryam de Lhoneux</t>
  </si>
  <si>
    <t>Thomas Bauwens</t>
  </si>
  <si>
    <t>806-FIND</t>
  </si>
  <si>
    <t>Demystifying Mixed Outcomes of Self-Training: Pre-training Analyses on Non-Toy LLMs</t>
  </si>
  <si>
    <t>We investigate whether large language models (LLMs) can improve through recursive training on self-generated text, a topic where prior studies report conflicting outcomes: some find evidence of performance gains (i.e., \textit{self-improvement}), while others observe performance degradation (i.e., \textit{model collapse}). To clarify this discrepancy, we use the OLMo-2 models as non-toy LLMs and perform multiple rounds of continual pre-training using self-generated text with different prompting strategies and data filtering. Our experiments show that naive recursive self-training does not improve either perplexity or downstream task performance, regardless of model size. These results suggest that model collapse observed in naive recursive training is inherent to the training procedure itself, while self-improvement likely owes its success not to the modelвЂ™s autonomous refinement but to human-designed, strategic synthetic pipelines that inject external intelligence.</t>
  </si>
  <si>
    <t>Yusuke Nakamura; Hirokazu Kiyomaru; Chaoran Liu; Shuhei Kurita; Daisuke Kawahara</t>
  </si>
  <si>
    <t>Yusuke Nakamura</t>
  </si>
  <si>
    <t>812-FIND</t>
  </si>
  <si>
    <t>Revealing Redundant Syntax in Large Language Models through Multi-Hop Dependency Paths</t>
  </si>
  <si>
    <t>Prior work on attentionвЂ“syntax alignment has largely focused on single-hop Universal Dependency edges (DPs). In this paper, we treat short multi-hop dependency paths (MDPs) (e.g., вЂњobl+caseвЂќ) as first-class units and analyze them alongside DPs. Across three pretrained autoregressive LMs (GPT-2 XL, Llama 3 8B, Qwen3-8B) and one encoder baseline (BERT-large), we extract 2--3 hop MDPs from UD-parsed English and quantify headвЂ“relation alignment with an Unlabeled Attachment Score (UAS)вЂ“style metric modified for causal masking in decoder-only models. Rank visualizations reveal both overlap and specialization: we observe heads that align with both DPs and MDPs, as well as heads that appear specialized for one route. To test functional relevance, we first identify heads by UAS and then apply an undifferentiated (uniform) attention ablation to those heads; we evaluate the impact on BLiMP and LAMBADA. Ablating the top 10% of all heads shows that MDP-selected heads induce larger drops than DP-selected heads and that the union (вЂњMixвЂќ) of DP- and MDP-selected heads yields the largest drops. For GPT-2 XL, the observed drops are (BLiMP: DP = $\Delta$1.35 pp, MDP = $\Delta$ 4.81 pp, Mix = $\Delta$ 7.11 pp; LAMBADA: DP = $\Delta$ 4.70 pp, MDP = $\Delta$ 25.17 pp, Mix = $\Delta$ 32.99 pp), all exceeding size-matched random controls. These results indicate that models can route information consistent with syntactic dependencies via both DP and MDP pathways, with MDPs playing a distinct and measurable role under our interventions.</t>
  </si>
  <si>
    <t>Masaki Sashida; Takeshi Kojima; Yusuke Iwasawa; Yutaka Matsuo</t>
  </si>
  <si>
    <t>Masaki Sashida</t>
  </si>
  <si>
    <t>823-FIND</t>
  </si>
  <si>
    <t>Knowing What's Missing: Assessing Information Sufficiency in Question Answering</t>
  </si>
  <si>
    <t>Determining whether a provided context contains sufficient information to answer a question is a critical challenge for building reliable question-answering systems. While simple prompting strategies have shown success on factual questions, they frequently fail on inferential ones that require reasoning beyond direct text extraction. We hypothesize that asking a model to first reason about what specific information is missing provides a more reliable, implicit signal for assessing overall sufficiency. To this end, we propose a structured Identify-then-Verify framework for robust sufficiency modeling. Our method first generates multiple hypotheses about missing information and establishes a semantic consensus. It then performs a critical verification step, forcing the model to re-examine the source text to confirm whether this information is truly absent. We evaluate our method against established baselines across a diverse suite of datasets, including multi-hop and factual QA. The results demonstrate that by forcing the model to justify its claims about missing information, our framework produces a more accurate sufficiency judgment while detailing any information gaps.</t>
  </si>
  <si>
    <t>Akriti Jain; Aparna Garimella</t>
  </si>
  <si>
    <t>Akriti Jain</t>
  </si>
  <si>
    <t>833-FIND</t>
  </si>
  <si>
    <t>PATS: Personality-Aware Teaching Strategies with Large Language Model Tutors</t>
  </si>
  <si>
    <t>Recent advances in large language models (LLMs) demonstrate their potential as educational tutors. However, different tutoring strategies benefit different student personalities, and mismatches can be counterproductive to student outcomes. Despite this, current LLM tutoring systems do not take into account student personality traits. To address this problem, we first construct a taxonomy that links pedagogical methods to personality profiles, based on pedagogical literature. We simulate student-teacher conversations and use our framework to let the LLM tutor adjust its strategy to the simulated student personality. We evaluate the scenario with human teachers and find that they consistently prefer our approach over two baselines. Our method also increases the use of less common, high-impact strategies such as role-playing, which human and LLM annotators prefer significantly. Our findings pave the way for developing more personalized and effective LLM use in educational applications.</t>
  </si>
  <si>
    <t>Donya Rooein; Sankalan Pal Chowdhury; Mariia Eremeeva; Yuan Qin; Debora Nozza; Mrinmaya Sachan; Dirk Hovy</t>
  </si>
  <si>
    <t>Donya Rooein</t>
  </si>
  <si>
    <t>843-FIND</t>
  </si>
  <si>
    <t>Mitigating Causal Bias in LLMs via Potential Outcomes Framework and Actual Causality Theory</t>
  </si>
  <si>
    <t>Event Causality Identification (ECI) aims to identify causal relationships between events, which is essential for root cause analysis. While recent studies reveal that Large Language Models (LLMs) exhibit significant causal hallucination, a systematic evaluation of their document-level ECI performance across varied structural characteristics and a corresponding dataset is currently lacking. To fill this gap, we first construct a structure-controlled dataset to comprehensively assess their document-level ECI performance across texts with various structural characteristics that influence the causal behaviors in ECI. We find that different LLMs exhibit divergent causal bias across texts with varied structures, ranging from consistent hallucination or neglect to structure-dependent shifts between the two. To mitigate the bias, furthermore, we formulate ECI as a causal inference problem and propose a causality identification framework grounded in the potential outcomes and the HalpernвЂ“Pearl (HP) definition of actual causality theory. Experimental results demonstrate that our framework significantly reduces the causal bias associated with directly using LLMs on ECI, while also achieving superior performance.</t>
  </si>
  <si>
    <t>Yiheng Zhao; Yuanliang Li; Shreya Savant; Jun Yan</t>
  </si>
  <si>
    <t>Yiheng Zhao</t>
  </si>
  <si>
    <t>844-FIND</t>
  </si>
  <si>
    <t>JuriFindIT: an Italian legal retrieval dataset</t>
  </si>
  <si>
    <t>Statutory article retrieval (SAR) targets retrieval of legislative provisions relevant to a natural language question. The lexical gap between everyday queries and specialized legal language, as well as the structural dependencies of statute law, makes it a challenging task. Here, we introduce JuriFindIT, the first SAR dataset for the Italian legal domain and the first to explicitly encode cross-article references extracted from national legal code. The dataset covers four macro-areasвЂ”civil law, criminal law, anti-money laundering and counter-terrorism, and privacyвЂ”and includes 895 expert-authored questions and 169,301 generated ones, linked to more than 23,000 statutory articles. We provide retrieval models fine-tuned on JuriFindIT, proposing a pipeline that integrates dense encoders with an heterogeneous legislative graph, achieving consistent improvements over prior SAR approaches.</t>
  </si>
  <si>
    <t>Niko Dalla Noce; Davide Colla; Sina Farhang Doust; Lorenzo De Mattei; Davide Bacciu</t>
  </si>
  <si>
    <t>Niko Dalla Noce</t>
  </si>
  <si>
    <t>848-FIND</t>
  </si>
  <si>
    <t>How Many Ratings per Item are Necessary for Reliable Significance Testing?</t>
  </si>
  <si>
    <t>A cornerstone of machine learning evaluation is the (often hidden) assumption that model and human responses are reliable enough to evaluate models against unitary, authoritative, ``gold standard'' data, via simple metrics such as accuracy, precision, and recall. The generative AI revolution would seem to explode this assumption, given the critical role stochastic inference plays. Yet, in spite of public demand for more transparency in AI---along with strong evidence that humans are unreliable judges---estimates of model reliability are conventionally based on, at most, a few output responses per input item. We adapt a method, previously used to evaluate the reliability of various metrics and estimators for machine learning evaluation, to determine whether an (existing or planned) dataset has enough responses per item to assure reliable null hypothesis statistical testing. We show that, for many common metrics, collecting even 5-10 responses per item (from each model and team of human evaluators) is not sufficient. We apply our methods to several of the very few extant gold standard test sets with multiple disaggregated responses per item and show that even these datasets lack enough responses per item. We show how our methods can help AI researchers make better decisions about how to collect data for AI evaluation.</t>
  </si>
  <si>
    <t>Christopher M Homan; Flip Korn; Deepak Pandita; Chris Welty</t>
  </si>
  <si>
    <t>Christopher M. Homan</t>
  </si>
  <si>
    <t>849-FIND</t>
  </si>
  <si>
    <t>QFrBLiMP: a Quebec-French Benchmark of Linguistic Minimal Pairs</t>
  </si>
  <si>
    <t>In this paper, we introduce the Quebec-French Benchmark of Linguistic Minimal Pairs (QFrBLiMP), a corpus designed to evaluate the linguistic knowledge of large language models on prominent grammatical phenomena in French. QFrBLiMP consists of 1,761 minimal pairs annotated with 20 linguistic phenomena. Specifically, these minimal pairs have been created by manually modifying sentences extracted from an official online resource maintained by a QuГ©bec government institution. Each pair is annotated by twelve Quebec-French native speakers, who select the sentence they feel is grammatical amongst the two. These annotations are used to compare the competency of LLMs with that of humans. In addition, QFrBLiMP is the first dataset for targeted linguistic evaluations of LLMs in French, enabling a comparison of the linguistic competence of LLMs across different languages. We evaluate different French-based LLMs by observing the rate of higher probabilities assigned to the sentences of each minimal pair for each category. We find that while grammatical competence scales with model size, a clear hierarchy of difficulty emerges. All benchmarked models consistently fail on phenomena requiring deep semantic understanding, revealing a critical limitation and a significant gap compared to human performance on these specific tasks.</t>
  </si>
  <si>
    <t>David Beauchemin; Pier-Luc Veilleux; Johanna-Pascale Roy; Richard Khoury</t>
  </si>
  <si>
    <t>Pier-Luc Veilleux</t>
  </si>
  <si>
    <t>850-FIND</t>
  </si>
  <si>
    <t>QueerGen: How LLMs Reflect Societal Norms on Gender and Sexuality in Sentence Completion Task</t>
  </si>
  <si>
    <t>This paper examines how Large Language Models (LLMs) reproduce societal norms, particularly heterocisnormativity, and how these norms translate into measurable biases in their text generations. We investigate whether explicit information about a subject's gender or sexuality influences LLM responses across three subject categories: queer-marked, non-queer-marked, and the normalized "unmarked" category. Representational imbalances are operationalized as measurable differences in English sentence completions across four dimensions: sentiment, regard, toxicity, and prediction diversity. Our findings show that Masked Language Models (MLMs) produce the least favorable sentiment, higher toxicity, and more negative regard for queer-marked subjects. Autoregressive Language Models (ARLMs) partially mitigate these patterns, while closed-access ARLMs tend to produce more harmful outputs for unmarked subjects. Results suggest that LLMs reproduce normative social assumptions, though the form and degree of bias depend strongly on specific model characteristics, which may redistributeвЂ”but not eliminateвЂ”representational harms.</t>
  </si>
  <si>
    <t>Mae Sosto; Delfina S. Martinez Pandiani; Laura Hollink</t>
  </si>
  <si>
    <t>Mae Sosto</t>
  </si>
  <si>
    <t>858-FIND</t>
  </si>
  <si>
    <t>RiddleBench: A New Generative Reasoning Benchmark for LLMs</t>
  </si>
  <si>
    <t>While Large Language Models (LLMs) show remarkable capabilities, their complex reasoning skills require deeper investigation. We introduce **RiddleBench**, a new benchmark of 1,737 challenging puzzles designed to test reasoning beyond simple pattern matching. Our evaluation of state-of-the-art models reveals significant limitations, including hallucination cascades (uncritically accepting flawed peer reasoning) and poor self-correction due to strong self-confirmation bias. We also find that model performance is fragile, degrading when faced with reordered constraints or irrelevant information. RiddleBench serves as a resource for diagnosing these issues and guiding the development of more robust LLMs.</t>
  </si>
  <si>
    <t>Deepon Halder; Alan Saji; Thanmay Jayakumar; Anoop Kunchukuttan; Ratish Puduppully; Raj Dabre</t>
  </si>
  <si>
    <t>869-FIND</t>
  </si>
  <si>
    <t>HARM: Learning Hate-Aware Reward Model for Evaluating Natural Language Explanations of Offensive Content</t>
  </si>
  <si>
    <t>Explaining why content is hateful using natural language is crucial for fostering transparency in automated content moderation systems. However, evaluating the quality of such explanations remains an open challenge. General-purpose reward models (RMs), commonly used for scoring natural language outputs, are typically optimized for broad notions of safety. We argue that this optimization penalizes situations where references to stereotypes or offensive content are essential for faithful hate speech explanations. To address this gap, we introduce SBIC-Explain, a human-validated dataset of 370,788 LLM generated NLEs for offensive content, spanning three levels of human-annotated contextual richness: Tier 1: text-only, Tier 2: + classification-aware, and Tier 3: + semantics-informed. We hypothesize that as human-annotated context increases, explanations should better reflect human preferences. Yet, we find that existing RMs systematically assign lower scores to more contextually rich (and often more offensive) explanations, revealing a misalignment between model preferences and explanatory fidelity for this context. We propose HARM (Hate-Aware Reward Model), a RM that integrates interpretable signals to better align reward scores with the needs of hate speech explanation. HARM outperforms general-purpose baselines, improving NLE pair-wise preference.</t>
  </si>
  <si>
    <t>Lorenzo Puppi Vecchi; Alceu de Souza Britto Jr.; Emerson Cabrera Paraiso; Rafael M. O. Cruz</t>
  </si>
  <si>
    <t>Lorenzo Puppi Vecchi</t>
  </si>
  <si>
    <t>875-FIND</t>
  </si>
  <si>
    <t>MATH-IDN: A Multilingual Mathematical Problem Solving Dataset Featuring Local Languages in Indonesia</t>
  </si>
  <si>
    <t>Large Language Models (LLMs) excel at mathematical reasoning in English, but their performance in low-resource languages remains underexplored. This gap is particularly critical for Indonesia, where equitable access to AI-powered education depends on robust multilingual reasoning across diverse local languages. We introduce MATH-IDN, a multilingual benchmark for mathematical problem solving in Indonesian, Javanese, Sundanese, and Buginese, with English as reference. Each subset contains expert-verified problems spanning seven subjects and five difficulty levels. We evaluate eight open-source LLM families, including math-specialized, Southeast-Asian-adapted, and general-purpose models, under a zero-shot chain-of-thought setting. Results show that MATH-IDN presents a challenging and discriminative benchmark, revealing substantial performance gaps in low-resource languagesвЂ”particularly for BugineseвЂ”and highlighting key limitations in current multilingual reasoning capabilities. Anonymous link to the data repository: https://anonymous.4open.science/r/MATH_IDN-EA85</t>
  </si>
  <si>
    <t>Xiao Xiao; Iftitahu Ni'mah; Yuyun Wabula; Mykola Pechenizkiy; Meng Fang</t>
  </si>
  <si>
    <t>Xiao Xiao</t>
  </si>
  <si>
    <t>887-FIND</t>
  </si>
  <si>
    <t>Parameter-Efficient Routed Fine-Tuning: Mixture-of-Experts Demands Mixture of Adaptation Modules</t>
  </si>
  <si>
    <t>Mixture-of-Experts (MoE) benefits from a dynamic routing mechanism among their specialized experts, which existing Parameter- Efficient Fine-Tuning (PEFT) strategies often fail to leverage. This motivates us to investigate whether adaptation modules themselves should incorporate routing mechanisms to align with MoE's multi-expert architecture. We analyze dynamics of core components when applying PEFT to MoE language models, and examine how different routing strategies affect adaptation effectiveness. Extensive experiments adapting OLMoE-1B-7B and Mixtral-8Г—7B on various commonsense and math reasoning tasks validate the performance and efficiency of our routed approach. We identify optimal configurations for different scenarios and provide empirical analyses with practical insights to facilitate better PEFT and MoE applications.</t>
  </si>
  <si>
    <t>Yilun Liu; Yunpu Ma; Yuetian Lu; Shuo Chen; Zifeng Ding; Volker Tresp</t>
  </si>
  <si>
    <t>Yilun Liu</t>
  </si>
  <si>
    <t>891-FIND</t>
  </si>
  <si>
    <t>MAPRO: Recasting Multi-Agent Prompt Optimization as Maximum a Posteriori Inference</t>
  </si>
  <si>
    <t>Large language models (LLMs) have demonstrated remarkable capabilities across diverse tasks, and LLM-based agents further extend these abilities to various practical workflows. While recent progress shows that multi-agent systems (MAS) can outperform single agents by coordinating specialized roles, designing effective MAS remains difficult due to prompt sensitivity and the compounded instability MAS creates. To cope with the challenge, recent efforts in automated prompt design have reduced manual effort. However, multi-agent prompt optimization remains largely unexplored. Challenges like exponentially expanding search space and ambiguous credit assignment together make systematic design intractable without principled methods. Therefore, we introduce Multi-Agent PRompt Optimization (MAPRO), a four-stage framework that first formulates MAS prompt optimization as a \textit{Maximum a Posteriori} (MAP) inference problem and solves it using a language-guided variant of max-product belief propagation algorithm. To address credit assignment and updates the system iteratively, MAPRO employs a topology-aware refinement mechanism that integrates execution feedback and downstream blames to selectively update agent prompts. Through this process, MAPRO progressively converges to a coordinated set of agent-specific prompt policies. Across benchmarks in various tasks, MAPRO achieves state-of-the-art performance, consistently surpassing manually engineered baselines and recent automated alternatives. Beyond performance, our MAP-based formulation also delivers general guidelines for building more reliable and principled multi-agent systems in the future.</t>
  </si>
  <si>
    <t>Zheyuan Zhang; Lin Ge; Hongjiang Li; Weicheng Zhu; Chuxu Zhang; Yanfang Ye</t>
  </si>
  <si>
    <t>903-FIND</t>
  </si>
  <si>
    <t>Toward Safe and Human-Aligned Game Conversational Recommendation via Multi-Agent Decomposition</t>
  </si>
  <si>
    <t>Conversational recommender systems (CRS) have advanced with large language models, showing strong results in domains like movies. These domains typically involve fixed content and passive consumption, where user preferences can be matched by genre or theme. In contrast, games present distinct challenges: fast-evolving catalogs, interaction-driven preferences (e.g., skill level, mechanics, hardware), and increased risk of unsafe responses in open-ended conversation. We propose MATCHA, a multi-agent framework for CRS that assigns specialized agents for intent parsing, tool-augmented retrieval, multi-LLM ranking with reflection, explanation, and risk control which enabling finer personalization, long-tail coverage, and stronger safety. Evaluated on real user request dataset, MATCHA outperforms six baselines across eight metrics, improving Hit@5 by 20%, reducing popularity bias by 24%, and achieving 97.9% adversarial defense. Human and virtual-judge evaluations confirm improved explanation quality and user alignment. Code will be released upon acceptance.</t>
  </si>
  <si>
    <t>Zheng Hui; Xiaokai Wei; Yexi Jiang; Kevin Gao; Chen Wang; Se-eun Yoon; Rachit Pareek; Michelle Gong</t>
  </si>
  <si>
    <t>Zheng Hui</t>
  </si>
  <si>
    <t>905-FIND</t>
  </si>
  <si>
    <t>Linguistic Cues for LLM-based Implicit Discourse Relation Classification</t>
  </si>
  <si>
    <t>Large language models (LLMs) have achieved impressive success across many NLP tasks, yet implicit discourse relation classification (IDRC) is still dominated by encoder-only pre-trained language models such as RoBERTa. This may be due to earlier reports that ChatGPT performs poorly on IDRC in zero-shot settings. In this paper, we show that fine-tuned LLMs can perform on par with, or even better than, existing encoder-based approaches. Nevertheless, we find that LLMs alone struggle to capture subtle lexical relations between arguments for the task. To address this, we propose a two-step strategy that enriches arguments with explicit lexical-level semantic cues before fine-tuning. Experiments demonstrate substantial gains, particularly in cross-domain scenarios, with F1 scores improved by more than 10 points compared to strong baselines.</t>
  </si>
  <si>
    <t>Yi Fan; Michael Strube; Wei Liu</t>
  </si>
  <si>
    <t>Yi Fan</t>
  </si>
  <si>
    <t>920-FIND</t>
  </si>
  <si>
    <t>Reducing Hallucinations in Language Model-based SPARQL Query Generation Using Post-Generation Memory Retrieval</t>
  </si>
  <si>
    <t>The ability to generate SPARQL queries from natural language questions is crucial for ensuring efficient and accurate retrieval of structured data from knowledge graphs (KG). While large language models (LLMs) have been widely adopted for SPARQL query generation, they are often susceptible to hallucinations and out-of-distribution errors when generating KG elements, such as Uniform Resource Identifiers (URIs), based on opaque internal parametric knowledge. We propose PGMR (Post-Generation Memory Retrieval), a modular framework where the LLM produces an intermediate query using natural language placeholders for URIs, and a non-parametric memory module is subsequently employed to retrieve and resolve the correct KG URIs. PGMR significantly enhances query correctness (SQM) across various LLMs, datasets, and distribution shifts, while achieving the near-complete suppression of URI hallucinations. Critically, we demonstrate PGMR's superior safety and robustness: a retrieval confidence threshold enables PGMR to effectively refuse to answer queries that lack support, and the retriever proves highly resilient to memory noise, maintaining strong performance even when the non-parametric memory size is scaled up to 9 times with irrelevant, distracting entities.</t>
  </si>
  <si>
    <t>Aditya Sharma; Christopher Pal; Amal Zouaq</t>
  </si>
  <si>
    <t>Aditya Sharma</t>
  </si>
  <si>
    <t>923-FIND</t>
  </si>
  <si>
    <t>BSCodec: A Band-Split Neural Codec for High-Quality Universal Audio Reconstruction</t>
  </si>
  <si>
    <t>Neural audio codecs have recently enabled high-fidelity reconstruction at high compression rates, especially for speech. However, speech and non-speech audio exhibit fundamentally different spectral characteristics: speech energy concentrates in narrow bands around pitch harmonics (80-400 Hz), while non-speech audio requires faithful reproduction across the full spectrum, particularly preserving higher frequencies that define timbre and texture. This poses a challengeвЂ”speech-optimized neural codecs suffer degradation on music or sound. Treating the full spectrum holistically is suboptimal: frequency bands have vastly different information density and perceptual importance by content type, yet full-band approaches apply uniform capacity across frequencies without accounting for these acoustic structures. To address this gap, we propose **BSCodec** (Band-Split Codec), a novel neural audio codec architecture that splits the spectral dimension into separate bands and compresses each band independently. Experimental results demonstrate that BSCodec achieves superior reconstruction over baselines across sound and music, while maintaining competitive quality in the speech domain, when trained on the same combined dataset of speech, music and sound. Downstream benchmark tasks further confirm that BSCodec shows strong potential for use in downstream applications.</t>
  </si>
  <si>
    <t>Haoran Wang; Jiatong Shi; Jinchuan Tian; Bohan Li; Kai Yu; Shinji Watanabe</t>
  </si>
  <si>
    <t>Haoran Wang</t>
  </si>
  <si>
    <t>927-FIND</t>
  </si>
  <si>
    <t>Crafting Adversarial Inputs for Large Vision-Language Models Using Black-Box Optimization</t>
  </si>
  <si>
    <t>Recent advancements in Large Vision-Language Models (LVLMs) have shown groundbreaking capabilities across diverse multimodal tasks. However, these models remain vulnerable to adversarial jailbreak attacks, where adversaries craft subtle perturbations to bypass safety mechanisms and trigger harmful outputs. Existing white-box attacks methods require full model accessibility, suffer from computing costs and exhibit insufficient adversarial transferability, making them impractical for real-world, black-box settings. To address these limitations, we propose a black-box jailbreak attack on LVLMs via Zeroth-Order optimization using Simultaneous Perturbation Stochastic Approximation (ZO-SPSA). ZO-SPSA provides three key advantages: (i) gradient-free approximation by input-output interactions without requiring model knowledge, (ii) model-agnostic optimization without the surrogate model and (iii) lower resource requirements with reduced GPU memory consumption. We evaluate ZO-SPSA on three LVLMs, including InstructBLIP, LLaVA and MiniGPT-4, achieving the highest jailbreak success rate of 83.0% on InstructBLIP, while maintaining imperceptible perturbations comparable to white-box methods. Moreover, adversarial examples generated from MiniGPT-4 exhibit strong transferability to other LVLMs, with ASR reaching 64.18%. These findings underscore the real-world feasibility of black-box jailbreaks and expose critical weaknesses in the safety mechanisms of current LVLMs.</t>
  </si>
  <si>
    <t>Jiwei Guan; Haibo Jin; Haohan Wang</t>
  </si>
  <si>
    <t>Jiwei Guan</t>
  </si>
  <si>
    <t>933-FIND</t>
  </si>
  <si>
    <t>NUBench: A Benchmark for LLMs' Sentence-Level Negation Understanding</t>
  </si>
  <si>
    <t>Negation is a fundamental linguistic phenomenon that poses persistent challenges for Large Language Models (LLMs), particularly in tasks requiring deep semantic understanding. Existing benchmarks often treat negation as a side case within broader tasks like natural language inference, resulting in a lack of benchmarks that exclusively target negation understanding. In this work, we introduce **NUBench**, a novel benchmark explicitly designed to assess sentence-level negation understanding in LLMs. NUBench goes beyond surface-level cue detection by contrasting standard negation with structurally diverse alternatives such as local negation, contradiction, and paraphrase. The benchmark consists of manually curated sentence-negation pairs and a multiple-choice dataset that enables in-depth evaluation of models' negation understanding.</t>
  </si>
  <si>
    <t>Yeonkyoung So; Gyuseong Lee; Sungmok Jung; Joonhak Lee; JiA Kang; Sangho Kim; Jaejin Lee</t>
  </si>
  <si>
    <t>Yeonkyoung So</t>
  </si>
  <si>
    <t>937-FIND</t>
  </si>
  <si>
    <t>What Makes a Good Query? Measuring the Impact of Human-Confusing Linguistic Features on LLM Performance</t>
  </si>
  <si>
    <t>Large Language Model (LLM) hallucinations are usually treated as defects of the model or its decoding strategy. Drawing on classical linguistics, we argue that a query's form can also shape a listener's (and model's) response. We operationalize this insight by constructing a 22-dimension query feature vector covering clause complexity, lexical rarity, and anaphora, negation, answerability, and intention grounding, all known to affect human comprehension. Using 369,837 real-world queries, we ask: Are there certain types of queries that make hallucination more likely? A large-scale analysis reveals a consistent "risk landscape": certain features such as deep clause nesting and underspecification align with higher hallucination propensity. In contrast, clear intention grounding and answerability align with lower hallucination rates. Others, including domain specificity, show mixed, dataset- and model-dependent effects. Thus, these findings establish an empirically observable query-feature representation correlated with hallucination risk, paving the way for guided query rewriting and future intervention studies.</t>
  </si>
  <si>
    <t>William Watson; Nicole Cho; Sumitra Ganesh; Manuela Veloso</t>
  </si>
  <si>
    <t>Nicole Cho</t>
  </si>
  <si>
    <t>950-FIND</t>
  </si>
  <si>
    <t>Completely Modular Fine-tuning for Dynamic Language Adaptation</t>
  </si>
  <si>
    <t>Multilingual Fine-tuning of Large Language Models (LLMs) has achieved great advancements in machine translation. However, existing research focuses only on the traditional fine-tuning setting with a fixed set of languages, lacking dynamic adaptability to new ones. Introducing new languages requires retraining and often causes catastrophic forgetting. In this study, we propose a completely modular fine-tuning pipeline that enables dynamic language adaptation for LLMs. Instead of directly fine-tuning on all languages, our approach first trains English-centric input and output LoRA adapters for each language separately, and then merges the corresponding adapters for arbitrary-direction translation without any additional training. Experiments on 12 translation directions of four low-resource and less-supported languages show that modular fine-tuning achieves up to 86% performance of traditional multi-parallel full-parameter fine-tuning, while training only 0.1% parameters and relying solely on English-centric data without any catastrophic forgetting. Furthermore, we perform a comprehensive analysis about the merging ratio, when to merge, and the rationale for using English as a bridge language via Bayesian Optimization and logit lens.</t>
  </si>
  <si>
    <t>Zhe Cao; Yusuke Oda; Qianying Liu; Akiko Aizawa; Taro Watanabe</t>
  </si>
  <si>
    <t>Zhe Cao</t>
  </si>
  <si>
    <t>962-FIND</t>
  </si>
  <si>
    <t>We Are What We Repeatedly Do: Improving Long Context Instruction Following</t>
  </si>
  <si>
    <t>Large language model context lengths have grown rapidly in recent years, from 512 tokens in GPT to 2M tokens in Gemini 1.5 Pro. Larger context windows enable models to condition on significantly more input tokens, leading to higher quality responses for some user prompts. However, longer contexts also pose challenges to system instruction adherence. In this work, we formalize verifiable instructions to evaluate model compliance based on clear, measurable criteria. From this criteria, we present **VerIFY**, a **Ver**ifiable **I**nstruction **F**ollowing **Y**ardstick dataset designed to benchmark the compliance and accuracy of LLMs in adhering to various types of instructions across multi-turn, long-context conversations. From experiments with open-source models, we reveal insights into instruction-following failures in long contexts, helping to improve the reliability, safety, and precision of these models. Furthermore, we implement and evaluate six mitigation strategies to enhance instruction compliance in extended contexts, achieving an improvement up to 79%. This is the first work to consider instruction following for multi-turn, long context conversations.</t>
  </si>
  <si>
    <t>Preston K Robinette; Andrew Hard; Swaroop Ramaswamy; Ehsan Amid; Rajiv Mathews; Taylor T Johnson</t>
  </si>
  <si>
    <t>Preston Robinette</t>
  </si>
  <si>
    <t>976-FIND</t>
  </si>
  <si>
    <t>Program-of-Thought Reveals LLM Abstraction Ceilings</t>
  </si>
  <si>
    <t>Large language models (LLMs) are often claimed to exhibit reasoning ability when supervised with chain-of-thought (CoT) traces. True reasoning, however, requires invariance: isomorphic problems should yield identical solutions regardless of superficial variation. We test this property by evaluating base and reasoning-optimized models, including LLaMA, Mistral, Qwen, GPT-OSS, and Deepseek, on GSM8K and MATH isomorphic variants of the same problem. All models exhibit notable drops under perturbation. To test whether training can induce invariance, we fine-tune models with PoT supervision under both concrete and abstract prompt formulations. PoT reduces surface instability but yields only marginal accuracy gains and does not transfer to CoT evaluation. These findings suggest PoT confers template-level consistency but fails to robustly ground operator semantics, yielding consistency without correctness. These results indicate that current LLM fine-tuning practices reinforce structural imitation rather than true reasoning.</t>
  </si>
  <si>
    <t>Mike Zhou; Fenil Bardoliya; Vivek Gupta; Dan Roth</t>
  </si>
  <si>
    <t>Mike Zhou</t>
  </si>
  <si>
    <t>985-FIND</t>
  </si>
  <si>
    <t>Position Encoding with Random Float Sampling Enhances Length Generalization of Transformers</t>
  </si>
  <si>
    <t>Length generalization is the ability of language models to maintain performance on inputs longer than those seen during pretraining. In this work, we introduce a simple yet powerful position encoding (PE) strategy, Random Float Sampling (RFS), that generalizes well to lengths unseen during pretraining or fine-tuning. In particular, instead of selecting position indices from a predefined discrete set, RFS uses randomly sampled continuous values, thereby avoiding out-of-distribution (OOD) issues on unseen lengths by exposing the model to diverse indices during training. Since assigning indices to tokens is a common and fundamental procedure in widely used PEs, the advantage of RFS can easily be incorporated into, for instance, the absolute sinusoidal encoding, RoPE, and ALiBi. Experiments corroborate its effectiveness by showing that RFS results in superior performance in length generalization tasks as well as zero-shot commonsense reasoning benchmarks.</t>
  </si>
  <si>
    <t>Atsushi Shimizu; Shohei Taniguchi; Yutaka Matsuo</t>
  </si>
  <si>
    <t>Atsushi Shimizu</t>
  </si>
  <si>
    <t>999-FIND</t>
  </si>
  <si>
    <t>CLICKER: Cross-Lingual Knowledge Editing via In-Context Learning with Adaptive Stepwise Reasoning</t>
  </si>
  <si>
    <t>As large language models (LLMs) are increasingly deployed as multilingual services, keeping their factual knowledge accurate across languages has become both essential and challenging. However, most of the existing knowledge editing (KE) methods are static, in that they update parameters offline for given accumulated edits of knowledge, and are struggling to effectively propagate edits in one language to others, while avoiding side effects. To mitigate this issue, we propose **CLICKER**, a KE method with stepwise reasoning that dynamically retrieves only knowledge relevant to a given query and then edit, while maintaining cross-lingual consistency through: (1) relevance-aware knowledge retrieval, (2) on-demand in-context KE, and (3) language alignment of the outputs. To rigorously evaluate the locality of edits in cross-lingual KE, we develop **Multi-CounterFact** dataset that contain many semantically-similar but irrelevant prompts for the edit. Experiments on Multi-CounterFact and MzsRE with both open- and closed-source LLMs confirmed that CLICKER effectively localizes edits and resolves cross-lingual inconsistencies, outperforming dynamic KE baselines.</t>
  </si>
  <si>
    <t>Zehui Jiang; Xin Zhao; Yuta Kumadaki; Naoki Yoshinaga</t>
  </si>
  <si>
    <t>Zehui Jiang</t>
  </si>
  <si>
    <t>1002-FIND</t>
  </si>
  <si>
    <t>Cards Against Contamination: TCG-Bench for Difficulty-Scalable Multilingual LLM Reasoning</t>
  </si>
  <si>
    <t>Benchmarks for language models have become essential tools for research. Yet, such benchmarks face a persistent contamination problem, with recent studies finding 25-50% of evaluation datasets appearing in training corpora. This is true even looking at the two-player zero-sum game setting, where most benchmarks are based on popular games, like chess, whose optimal strategies are all over the web. Such contamination hinders the possibility to differentiate memorization and reasoning skills. To rectify these problems, we introduce TCG-Bench, a benchmark based on a new two-player trading card game (TCG), similar in spirit to games like Magic: The Gathering. TCG-Bench offers three key innovations: (1) a contamination-resistant design by separating the publicly released game engine from hidden card implementations, (2) a continuous difficulty spectrum via Monte Carlo simulation that prevents benchmark saturation, and (3) a parallel implementation in English and Arabic, the first multilingual text-based game benchmark to do so. We also formalize a practical threat model and refresh protocol that preserves evaluation integrity even if specific cards leak. Our analysis across 17 models (50,000+ games) reveals that performance declines exponentially with difficulty, while model size correlates only weakly with strategic ability. We also observe cross-linguistic performance gaps between English and Arabic, with a gap of 47.4% at 32B, highlighting the need for multilingual game benchmarks that target reasoning capabilities in the target language. We host a leaderboard showcasing these results and welcome evaluation requests on our private cards.</t>
  </si>
  <si>
    <t>Sultan AlRashed; Jianghui Wang; Francesco Orabona</t>
  </si>
  <si>
    <t>Sultan Alrashed</t>
  </si>
  <si>
    <t>1004-FIND</t>
  </si>
  <si>
    <t>Multilingual Self-Taught Faithfulness Evaluators</t>
  </si>
  <si>
    <t>The growing use of large language models (LLMs) has increased the need for automatic evaluation systems, particularly to address the challenge of information hallucination. Although existing faithfulness evaluation approaches have shown promise, they are predominantly English-focused and often require expensive human-labeled training data for fine-tuning specialized models. As LLMs see increased adoption in multilingual contexts, there is a need for accurate faithfulness evaluators that can operate across languages without extensive labeled data. This paper presents STEMF (Self-Taught Evaluators for Multilingual Faithfulness), a framework that learns exclusively from synthetic multilingual data while leveraging cross-lingual transfer learning. Through experiments comparing language-specific and mixed-language fine-tuning approaches, we demonstrate a consistent relationship between an LLM's general language capabilities and its performance in language-specific evaluation tasks. Our framework shows improvements over existing baselines, including state-of-the-art English evaluators and machine translation-based approaches.</t>
  </si>
  <si>
    <t>Carlo Alfano; Aymen Al Marjani; Zeno Jonke; Amin Mantrach; Saab Mansour; Marcello Federico</t>
  </si>
  <si>
    <t>1018-FIND</t>
  </si>
  <si>
    <t>Stay Focused: Problem Drift in Multi-Agent Debate</t>
  </si>
  <si>
    <t>Multi-agent debate вЂ“ multiple instances of large language models discussing problems in turn-based interaction вЂ“ has shown promise for solving knowledge and reasoning tasks. However, these methods show limitations when solving complex problems that require longer reasoning chains. We analyze how multi-agent debate drifts away from the initial problem over multiple turns, thus harming task performance. We define this phenomenon as problem drift and quantify its presence across ten tasks (i.e., three generative, three knowledge, three reasoning, and one instruction-following task). We find that generative tasks drift often due to the subjectivity of the answer space (76-89%), compared to high-complexity tasks (7-21%). To identify the reasons, eight human experts analyze 170 multi-agent debates suffering from problem drift. We find the most common issues related to this drift are the lack of progress (35% of cases), low-quality feedback (26% of cases), and a lack of clarity (25% of cases). We propose DRIFTJudge, an LLM-as-a-judge method, as a first baseline to detect problem drift. We also propose DRIFTPolicy, which mitigates 31% of problem drift cases. Our study is a step toward understanding a key limitation of multi-agent debate, highlighting why longer debates can harm task performance and how problem drift could be addressed.</t>
  </si>
  <si>
    <t>Jonas Becker; Lars Benedikt Kaesberg; Andreas Stephan; Jan Philip Wahle; Terry Ruas; Bela Gipp</t>
  </si>
  <si>
    <t>Jonas Becker</t>
  </si>
  <si>
    <t>1022-FIND</t>
  </si>
  <si>
    <t>FLUKE: A Linguistically-Driven and Task-Agnostic Framework for Robustness Evaluation</t>
  </si>
  <si>
    <t>We present FLUKE (Framework for LingUistically-driven and tasK-agnostic robustness Evaluation), a framework for assessing model robustness through systematic minimal variations of test data. FLUKE introduces controlled variations across linguistic levels --- from orthography to dialect and style --- and leverages large language models (LLMs) with human validation to generate modifications. We demonstrate FLUKE's utility by evaluating both fine-tuned models and LLMs across six diverse NLP tasks (four classification and two generation tasks), and reveal that (1) the impact of linguistic variations is highly task-dependent, with some tests being critical for certain tasks but irrelevant for others; (2) LLMs still exhibit significant brittleness to certain linguistic variations, with reasoning LLMs surprisingly showing less robustness on some tasks compared to base models; (3) models are overall more brittle to natural, fluent modifications such as syntax or style changes (and especially to negation), compared to corruption-style tests such as letter flipping; (4) the ability of a model to use a linguistic feature in generation does not correlate to its robustness to this feature on downstream tasks. These findings highlight the importance of systematic robustness testing for understanding model behaviors.</t>
  </si>
  <si>
    <t>Yulia Otmakhova; Thinh Hung Truong; Rahmad Mahendra; Zenan Zhai; Rongxin Zhu; Daniel Beck; Jey Han Lau</t>
  </si>
  <si>
    <t>Yulia Otmakhova</t>
  </si>
  <si>
    <t>1025-FIND</t>
  </si>
  <si>
    <t>Sparse Brains are Also Adaptive Brains: Cognitive-Load-Aware Dynamic Activation for LLMs</t>
  </si>
  <si>
    <t>Dense large language models (LLMs) face critical efficiency bottlenecks, as they rigidly activate all parameters regardless of input complexity. While existing sparsity methods (static pruning or dynamic activation) partially address this issue, they either lack adaptivity to contextual or model structural demands or incur prohibitive computational overhead. Inspired by the human brainвЂ™s dual-process mechanisms вЂ” predictive coding (N400) for backbone sparsity and structural reanalysis (P600) for complex contexts вЂ” we propose \textbf{CLADA}, a \textit{\textbf{C}ognitive-\textbf{L}oad-\textbf{A}ware \textbf{D}ynamic \textbf{A}ctivation} framework that synergizes statistical sparsity with semantic adaptability. Our key insight is that LLM activations exhibit two complementary patterns: 1. \textit{Global Statistical Sparsity} driven by sequence-level prefix information, and 2. \textit{Local Semantic Adaptability} modulated by cognitive load metrics (e.g., surprisal and entropy). CLADA employs a hierarchical thresholding strategy: a baseline derived from offline error-controlled optimization ensures over 40% sparsity, which is then dynamically adjusted using real-time cognitive signals. Evaluations across six mainstream LLMs and nine benchmarks demonstrate that CLADA achieves \textbf{20% average speedup with less than 2% accuracy degradation}, outperforming Griffin (over 5% degradation) and TT (negligible speedup). Crucially, we establish the first formal connection between neurolinguistic event-related potential (ERP) components and LLM efficiency mechanisms through multi-level regression analysis ($R^2 = 0.17$), revealing a sparsity--adaptation synergy. Requiring no retraining or architectural changes, CLADA provides a deployable solution for resource-aware LLM inference while advancing biologically inspired AI design.</t>
  </si>
  <si>
    <t>Yiheng Yang; Yujie Wang; Chi Ma; Lei Yu; Emmanuele Chersoni; Chu-Ren Huang</t>
  </si>
  <si>
    <t>1028-FIND</t>
  </si>
  <si>
    <t>PATCH: Mitigating PII Leakage in Language Models with Privacy-Aware Targeted Circuit PatcHing</t>
  </si>
  <si>
    <t>Language models (LMs) may memorize personally identifiable information (PII) from training data, enabling adversaries to extract it during inference. Existing defense mechanisms such as differential privacy (DP) reduce this leakage, but incur large drops in utility. Based on a comprehensive study using circuit discovery to identify the computational circuits responsible PII leakage in LMs, we hypothesize that specific PII leakage circuits in LMs should be responsible for this behavior. Therefore, we propose PATCH: Privacy-Aware Targeted Circuit Patching, a novel approach that first identifies and subsequently directly edits PII circuits to reduce leakage. PATCH achieves better privacy-utility trade-off than existing defenses, e.g., reducing recall of PII leakage from LMs by up to 65%. Finally, PATCH can be combined with DP to reduce recall of residual leakage of an LM to as low as 0.01%. Our analysis shows that PII leakage circuits persist even after the application of existing defense mechanisms. In contrast, PATCH can effectively mitigate their impact.</t>
  </si>
  <si>
    <t>Anthony Hughes; Vasisht Duddu; N. Asokan; Nikolaos Aletras; Ning Ma</t>
  </si>
  <si>
    <t>Anthony Hughes</t>
  </si>
  <si>
    <t>1033-FIND</t>
  </si>
  <si>
    <t>Argument Component Segmentation with Fine-Tuned Large Language Models</t>
  </si>
  <si>
    <t>Argument Mining (AM) aims to identify and interpret argumentative structures in unstructured text, with Argument Component Classification (ACC) as a core task. Despite significant advances, most ACC approaches rely on manually pre-segmented inputs, an assumption that rarely holds in practice due to the high cost and effort of expert human annotation, creating a major bottleneck for scalable AM systems. In this work, we focus on the foundation Argument Component Segmentation (ACS) task by proposing a fine-grained, paired-tag annotation schema that explicitly distinguishes between relevant and surrounding content, thus overcoming the limitations of previous single-separator approaches. Leveraging small and open Large Language Models (LLMs) fine-tuned on our paired-tag annotation schema, we can perform ACS with quality comparable to human expert annotators across multiple benchmark datasets. We further validate our approach on the downstream ACC task, showing that automated segmentation with fine-tuned LLMs yields ACC performances comparable to pipelines relying on human annotations. These findings suggest that reliable automated ACS via LLMs is both feasible and effective, paving the way for more scalable AM pipelines without human intervention.</t>
  </si>
  <si>
    <t>Ettore Caputo; Sergio Greco; Lucio La Cava</t>
  </si>
  <si>
    <t>Lucio La Cava</t>
  </si>
  <si>
    <t>1035-FIND</t>
  </si>
  <si>
    <t>DuFFin: A Dual-Level Fingerprinting Framework for LLMs IP Protection</t>
  </si>
  <si>
    <t>Large language models (LLMs) are considered valuable Intellectual Properties (IP) due to the enormous computational cost of training, making their protection against malicious stealing or unauthorized deployment crucial. Despite efforts in watermarking and fingerprinting, existing methods either affect text generation or rely on white-box access, limiting practicality. To address this, we propose DuFFin, a novel Dual-Level Fingerprinting framework for black-box ownership verification. DuFFin jointly extracts trigger patterns and knowledge-level fingerprints to identify the source of a suspect model. We conduct experiments on diverse open-source models, including four popular base LLMs and their fine-tuned, quantized, and safety-aligned variants released by large companies, start-ups, and individuals. Results show that DuFFin accurately verifies the copyright of protected LLMs on their variants, achieving an IP-ROC greater than 0.99. Our code is available at https://anonymous.4open.science/r/llm-fingerprint-EC9F.</t>
  </si>
  <si>
    <t>Yuliang Yan; Haochun Tang; Shuo Yan; Enyan Dai</t>
  </si>
  <si>
    <t>Yuliang Yan</t>
  </si>
  <si>
    <t>1038-FIND</t>
  </si>
  <si>
    <t>The Art of Saying "Maybe": A Conformal Lens for Uncertainty Benchmarking in VLMs</t>
  </si>
  <si>
    <t>Vision-Language Models (VLMs) have achieved remarkable progress in complex visual understanding across scientific and reasoning tasks. While performance benchmarking has advanced our understanding of these capabilities, the critical dimension of uncertainty quantification has received insufficient attention. Therefore, unlike prior conformal prediction studies that focused on limited settings, we conduct a comprehensive uncertainty benchmarking study, evaluating 16 state-of-the-art VLMs (open and closed-source) across 6 multimodal datasets with 3 distinct scoring functions. Our findings demonstrate that larger models consistently exhibit better uncertainty quantification; models that know more also know better what they don't know. More certain models achieve higher accuracy, while mathematical and reasoning tasks elicit poorer uncertainty performance across all models compared to other domains. This work establishes a foundation for reliable uncertainty evaluation in multimodal systems.</t>
  </si>
  <si>
    <t>Asif Azad; Mohammad Sadat Hossain; MD Sadik Hossain Shanto; M Saifur Rahman; Md Rizwan Parvez</t>
  </si>
  <si>
    <t>1039-FIND</t>
  </si>
  <si>
    <t>Diagnosis of Dysarthria Severity and Explanation Generation Using XAI-Enhanced CLINIC-GENIE on Diadochokinetic Tasks</t>
  </si>
  <si>
    <t>Deep neural network classifiers for dysarthria impairment severity face limitations regarding interpretability and treatment guidance. To overcome these, we introduce CLINIC-GENIE, an explainable two-stage framework consisting of: (1) CLINIC, a dysarthria severity classification model combining acoustic and speech embeddings with Clinically Explainable Acoustic Features (CEAFs); and (2) GENIE, a module translating CEAFs and their Shapley values into intuitive natural language explanations via a large language model. CLINIC achieved a balanced accuracy of 0.952 (17.3\% improvement over using CEAFs alone), and certified speech-language pathologists rated explanations from CLINIC-GENIE with an average fidelity score of 4.94, confirming enhanced clinical utility.</t>
  </si>
  <si>
    <t>Jihyeon Kim; Insung Lee; Myoung-Wan Koo</t>
  </si>
  <si>
    <t>Jihyeon Kim</t>
  </si>
  <si>
    <t>1041-FIND</t>
  </si>
  <si>
    <t>A Comprehensive Evaluation of Multilingual Chain-of-Thought Reasoning: Performance, Consistency, and Faithfulness Across Languages</t>
  </si>
  <si>
    <t>Large reasoning models (LRMs) increasingly rely on step-by-step Chain-of-Thought (CoT) reasoning to improve task performance, particularly in high-resource languages such as English. While recent work has examined final-answer accuracy in multilingual settings, the thinking traces themselves, i.e., the intermediate steps that lead to the final answer, remain underexplored. In this paper, we present the first comprehensive study of multilingual CoT reasoning, evaluating three key dimensions: performance, consistency, and faithfulness. We begin by measuring language compliance, answer accuracy, and answer consistency when LRMs are explicitly instructed or prompt-hacked to think in a target language, revealing strong language preferences and divergent performance across languages. Next, we assess crosslingual consistency of thinking traces by interchanging them between languages. We find that the quality and effectiveness of thinking traces vary substantially depending on the prompt language. Finally, we adapt perturbation-based techniques -- i.e., truncation and error injection -- to probe the faithfulness of thinking traces across languages, showing that models rely on traces to varying degrees. We will release our code and data to support future research.</t>
  </si>
  <si>
    <t>Raoyuan Zhao; Yihong Liu; Hinrich Schuetze; Michael A. Hedderich</t>
  </si>
  <si>
    <t>Raoyuan Zhao</t>
  </si>
  <si>
    <t>1047-FIND</t>
  </si>
  <si>
    <t>ORSO QGen: Odds-Ratio Steerable Optimization for Controlling Question Generation</t>
  </si>
  <si>
    <t>Question generation plays an important role in educational applications, enabling automated assessment and reading comprehension support. Attribute-controlled question generation aims to produce questions that fit predefined characteristics such as difficulty, focus, or coverage. Existing methods predominantly rely on supervised fine-tuning, which often fails to impose a strong adherence to attribute values, resulting in weak coupling between prompt specifications and model outputs. We introduce Odds-Ratio Steerable Optimization (ORSO), a framework designed to enhance attribute sensitivity in question generation models. Building upon preference-based learning techniques without requiring human-curated preference sets, ORSO employs input-level perturbations to create contrastive training signals. Empirical evaluations on both exhaustive and expert-validated attribute configurations indicate that ORSO performs better in enforcing attribute conformity while maintaining output quality. These results argue for the benefits of explicit attribute-aware optimization in controllable question generation tasks.</t>
  </si>
  <si>
    <t>Andreea Dutulescu; Stefan Ruseti; Mihai Dascalu; Danielle S McNamara</t>
  </si>
  <si>
    <t>Andreea Dutulescu</t>
  </si>
  <si>
    <t>1080-FIND</t>
  </si>
  <si>
    <t>Ranking Human and LLM Texts Using Locality Statistics</t>
  </si>
  <si>
    <t>The paper extends the Data Movement Distance (DMD) -- a metric defined to measure the locality in computer memory -- to text by defining a normalized version called nDMD. A key feature of nDMD is a new term designed to better characterize low-frequency tokens. By evaluating nDMD on English subset of the M4 dataset and GenAI detection shared task, the paper shows three key findings. First, nDMD is systematically higher in human-written text than in machine-generated text. Second, nDMD-based features not only outperform frequency baselines but also improve overall performance when combined. Finally, the proposed DMD normalization is more effective in distinguishing human and machine text than alternative approaches.</t>
  </si>
  <si>
    <t>Yiyang Wang; Chen Ding; Hangfeng He</t>
  </si>
  <si>
    <t>Yiyang Wang</t>
  </si>
  <si>
    <t>1087-FIND</t>
  </si>
  <si>
    <t>Improving the OOD Performance of Closed-Source LLMs on NLI Through Strategic Data Selection</t>
  </si>
  <si>
    <t>We investigate the robustness of fine-tuned Large Language Models (LLMs) for the task of Natural Language Inference (NLI), finding that the in-distribution gains from fine-tuning correspond to a large drop in out-of-distribution (OOD) performance. Despite the widespread use of closed-source LLMs, there are no robustness mitigation methods that work under their API fine-tuning constraints. Existing methods to improve robustness typically require changing the fine-tuning process or large-scale data augmentation, methods that are infeasible or cost prohibitive for closed-source models. To address this, we propose strategically selecting the NLI fine-tuning data, prioritising more complex examples or replacing existing training examples with LLM-generated data. Prioritising more complex training examples improves performance on challenging OOD NLI datasets, while training with synthetic data leads to substantial improvements on easier OOD datasets. We find that synthetic examples are often too simple, and by prompting LLMs to create more complex synthetic data we can improve performance on both easy and challenging OOD datasets. Finally, we show that recent autoregressive LLMs are substantially more robust to distributional shifts compared to encoder models, and should be a preferred baseline for future research.</t>
  </si>
  <si>
    <t>Joe Stacey; Lisa Alazraki; Aran Ubhi; Beyza Ermis; Aaron Mueller; Marek Rei</t>
  </si>
  <si>
    <t>Joe Stacey</t>
  </si>
  <si>
    <t>1105-FIND</t>
  </si>
  <si>
    <t>MMRA: A Benchmark for Evaluating Multi-Granularity and Multi-Image Relational Association Capabilities in Large Visual Language Models</t>
  </si>
  <si>
    <t>Current multi-modal benchmarks primarily focus on facts within individual images. However, they overlook the associative relations among multiple images, which necessitate conducting commonsense reasoning grounded in associated knowledge at different granularities (i.e., image-level and entity-level) as well as the ability to perceive the order of images. Therefore, we propose a multi-image relational association task and a meticulously curated Multi-granularity Multi-image Relational Association (MMRA) benchmark, comprising 1,024 samples. To systematically evaluate current LVLMs, we establish a system of associative relations among images that contains 11 subtasks (e.g., UsageSimilarity, SubEvent, etc.) at two granularity levels (i.e., image-level and entity-level), based on relations in ConceptNet. Our experiments reveal that entity-level multi-image perception tasks pose greater challenges for LVLMs than image-level tasks. Moreover, LVLMs perform poorly on spatial-related tasks, indicating limited spatial awareness. Furthermore, we find that LVLMs exhibit weak image order perception capabilities, and we design a method to significantly improve this ability, demonstrating that most current LVLMs do not adequately consider image order perception during pre-training.</t>
  </si>
  <si>
    <t>Siwei Wu; King Zhu; Yiming Liang; Yu Bai; Yizhi LI; Haoning Wu; Jiaheng Liu; Ruibo Liu; Xingwei Qu; Xuxin Cheng; Ge Zhang; Wenhao Huang; Chenghua Lin</t>
  </si>
  <si>
    <t>Siwei Wu</t>
  </si>
  <si>
    <t>1106-FIND</t>
  </si>
  <si>
    <t>COIG-P: A High-Quality and Large-Scale Chinese Preference Dataset for Alignment with Human Values</t>
  </si>
  <si>
    <t>Existing Chinese preference datasets suffer from limited scale, restricted domain coverage, and insufficiently rigorous data validation. Human annotation significantly limits the scalability of human preference datasets. As a result, Chinese Alignment and Chinese Reward Models (CRM) have not yet been thoroughly explored. To address these challenges, we design an LLM-based data annotation pipeline with no human intervention. Based on this pipeline, we curate COIG-P (Chinese Open Instruction Generalist - Preference), a high-quality, large-scale Chinese preference dataset consisting of 1M Chinese preference pairs and 92k carefully curated Chinese queries across diverse domains, including Chat, Coding, Maths, and others. We conduct experiments to verify the quality of COIG-P from two perspectives. (1) COIG-P brings significant performance improvements for the Qwen2/2.5 and Infinity-Instruct model series on AlignBench through DPO, with gains ranging from 2% to 12%. Furthermore, it significantly outperforms other existing Chinese preference datasets. (2) We train an 8B-sized CRM and manually annotate a Chinese Reward Benchmark (CRBench). Our CRM demonstrates robust scoring ability on CRBench. In addition, in practical data construction experiments, the quality of the data constructed by our CRM is comparable to that produced by GPT-4o.</t>
  </si>
  <si>
    <t>Siwei Wu; JinCheng Ren; Xeron Du; Shuyue Guo; Xingwei Qu; Yiming Liang; Jie Liu; Yunwen Li; Tyler Loakman; Tianyu Zheng; Boyu Feng; Huaqing Yuan; Zili Wang; Jiaheng Liu; Wenhao Huang; chenglin cai; Haoran Que; Jian Yang; Yuelin Bai; Zekun Moore Wang; Zhouliang Yu; Qunshu Lin; Ding Pan; Yuchen Eleanor Jiang; Tiannan Wang; Wangchunshu Zhou; Shenzhi Wang; Xingyuan Bu; Minghao Liu; Guoyin Wang; Ge Zhang; Chenghua Lin</t>
  </si>
  <si>
    <t>1112-FIND</t>
  </si>
  <si>
    <t>code_transformed: The Influence of Large Language Models on Code</t>
  </si>
  <si>
    <t>Coding remains one of the most fundamental modes of interaction between humans and machines. With the rapid advancement of Large Language Models (LLMs), code generation capabilities have begun to significantly reshape programming practices. This development prompts a central question: Have LLMs transformed code style, and how can such transformation be characterized? In this paper, we present a pioneering study that investigates the impact of LLMs on code style, with a focus on naming conventions, complexity, maintainability, and similarity. By analyzing code from over 20,000 GitHub repositories linked to arXiv papers published between 2020 and 2025, we identify measurable trends in the evolution of coding style that align with characteristics of LLM-generated code. For instance, the proportion of snake_case function names in Python code increased from 40.7% in Q1 2023 to 49.8% in Q3 2025. Furthermore, we investigate how LLMs approach algorithmic problems by examining their reasoning processes. Our experimental results provide the first large-scale empirical evidence that LLMs affect real-world programming style.</t>
  </si>
  <si>
    <t>Yuliang Xu; Siming Huang; Mingmeng Geng; Yao Wan; Xuanhua Shi; Dongping Chen</t>
  </si>
  <si>
    <t>Siming Huang</t>
  </si>
  <si>
    <t>1120-FIND</t>
  </si>
  <si>
    <t>Do LLMs model human linguistic variation? A case study in Hindi-English do-verb code-mixing</t>
  </si>
  <si>
    <t>Do large language models (LLMs) serve as proxies for human linguistic variation? We investigate this question through Hindi-English verb code-mixing, where speakers can use either a Hindi verb or an English verb with the light verb \textit{karna} (`do'). Both forms are grammatical, but speakers show gradient preferences without clear theoretical explanationвЂ”an ideal test of whether LLMs capture genuine sociolinguistic variation beyond formal rules. We collect preference ratings from 14 native speakers across 30 verb pairs in minimal pair contexts (moderate agreement, Krippendorff's О± = 0.365) and compare these to perplexity ratios from 7 base LLMs spanning families, sizes, and training compositions. Three experiments reveal systematic failure: unsupervised prediction performs at chance (F1 в‰¤ 0.33), supervised 4-way classification barely improves (F1 = 0.43), and binary classification achieves adequate performance (F1 = 0.81) for only one model after exhaustive feature searchвЂ”requiring the very human labels LLMs were meant to replace while discarding the gradient information linguists need. Models show no scaling effects and exhibit arbitrary systematic biases inconsistent with training data or human judgments. We conclude that current LLMs learn surface correlations without internalizing underlying sociolinguistic processes, and do not reliably model gradient linguistic variation. We release human ratings, perplexity ratios for 4,279 verb pairs across 7 models, and experimental materials.</t>
  </si>
  <si>
    <t>Mukund Choudhary; Madhur Jindal; Gaurja Aeron; Monojit Choudhury</t>
  </si>
  <si>
    <t>Mukund Choudhary</t>
  </si>
  <si>
    <t>1121-FIND</t>
  </si>
  <si>
    <t>ART: Attention-Regularized Transformers for Multi-Modal Robustness</t>
  </si>
  <si>
    <t>Transformers have become the standard in Natural Language Processing (NLP) and Computer Vision (CV) due to their strong performance, yet they remain highly sensitive to small input changes, often referred to as adversarial attacks, such as synonym swaps in text or pixel-level perturbations in images. These adversarial attacks can mislead predictions, while existing defenses are often domain-specific or lack formal robustness guarantees. We propose the \textit{Attention-Regularized Transformer} (ART), a framework that enhances robustness across modalities. ART builds on the \textit{Attention Sensitivity Tensor} (AST), which quantifies the effect of input perturbations on attention outputs. By incorporating an AST-based regularizer into training, ART encourages stable attention maps under adversarial perturbations in both text and image tasks. We evaluate ART on IMDB, QNLI, CIFAR-10, CIFAR-100, and Imagenette. Results show consistent robustness gains over strong baselines such as FreeLB and DSRM: up to $+36.9\%$ robust accuracy on IMDB and QNLI, and $+5$вЂ“$25\%$ on image benchmarks across multiple Vision Transformer (ViT) architectures, while maintaining or improving clean accuracy. ART is also highly efficient, training over $10\times$ faster than adversarial methods on text and requiring only $1.25\times$ the cost of standard training on images, compared to $1.5$вЂ“$5.5\times$ for recent robust ViTs.</t>
  </si>
  <si>
    <t>Mohammed Bouri; Mohammed Erradi; Adnane Saoud</t>
  </si>
  <si>
    <t>Mohammed Bouri</t>
  </si>
  <si>
    <t>1125-FIND</t>
  </si>
  <si>
    <t>GRAFF: GRaph-Augmented Fine-grained Fusion for Large Language Models</t>
  </si>
  <si>
    <t>Recent advancements in large language models (LLMs) have showcased remarkable text generation capabilities. However, due to the inherent ambiguity of natural language and the unstructured nature of text modality, LLMs still struggle to integrate structured information (e.g., graphs) effectively. This hinders their ability to leverage high-quality structured data in specialized domains. Thus, recent research has explored various methods to integrate graph structures into LLMs to improve generation. However, existing methods typically compress the graph's structural information into only a single token, which is concatenated with detailed text tokens for LLMs, restricting their ability to capture deep semantic and structural information. To overcome these limitations, we propose $\textbf{GR}$aph-$\textbf{A}$ugmented $\textbf{F}$ine-grained $\textbf{F}$usion (GRAFF), a novel method that integrates fine-grained node-level structural information with corresponding text entities to LLMs via a lightweight, structure adapter module. Specifically, we introduce a dual-channel graph input mechanism to separate structural and semantic components for graph encoding, producing more expressive graph representations. We then incorporate a graph attention (GAT) module into LLMs' intermediate decoder layers to process structural information, enhancing the modelвЂ™s capability in graph-based question answering. Extensive experiments show that GRAFF significantly improves LLMs' graph-understanding ability in question answering, outperforming baselines by an average of 10.14% across four datasets.</t>
  </si>
  <si>
    <t>Himanshu Chaudhary; Ruida WANG; Gowtham Ramesh; Junjie Hu</t>
  </si>
  <si>
    <t>Himanshu Chaudhary</t>
  </si>
  <si>
    <t>1129-FIND</t>
  </si>
  <si>
    <t>RoD-TAL: A Benchmark for Answering Questions in Romanian Driving License Exams</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</si>
  <si>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explanations written by human experts.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We highlight the potential and the limitations of applying LLMs and VLMs to legal education.</t>
  </si>
  <si>
    <t>Andrei Vlad Man; RДѓzvan-Alexandru SmДѓdu; Cristian-George Craciun; Dumitru-Clementin Cercel; Florin Pop; Mihaela-Claudia Cercel</t>
  </si>
  <si>
    <t>Răzvan-Alexandru Smădu</t>
  </si>
  <si>
    <t>1142-FIND</t>
  </si>
  <si>
    <t>FactSelfCheck: Fact-Level Black-Box Hallucination Detection for LLMs</t>
  </si>
  <si>
    <t>Large Language Models (LLMs) frequently generate hallucinated content, posing significant challenges for applications where factuality is crucial. While existing hallucination detection methods typically operate at the sentence level or passage level, we propose FactSelfCheck, a novel zero-resource black-box sampling-based method that enables fine-grained fact-level detection. Our approach represents text as interpretable knowledge graphs consisting of facts in the form of triples, providing clearer insights into content factuality than traditional approaches. Through analyzing factual consistency across multiple LLM responses, we compute fine-grained hallucination scores without requiring external resources or training data. Our evaluation demonstrates that FactSelfCheck performs competitively with leading sentence-level sampling-based methods while providing more detailed and interpretable insights. Most notably, our fact-level approach significantly improves hallucination correction, achieving a 35.5% increase in factual content compared to the baseline, while sentence-level SelfCheckGPT yields only a 10.6% improvement. The granular nature of our detection enables more precise identification and correction of hallucinated content. Additionally, we contribute FavaMultiSamples, a novel dataset that addresses a gap in the field by providing the research community with a second dataset for evaluating sampling-based methods.</t>
  </si>
  <si>
    <t>Albert Sawczyn; Jakub Binkowski; Denis Janiak; Bogdan Gabrys; Tomasz Jan Kajdanowicz</t>
  </si>
  <si>
    <t>Albert Sawczyn</t>
  </si>
  <si>
    <t>1145-FIND</t>
  </si>
  <si>
    <t>Punctuations and Predicates in Language Models</t>
  </si>
  <si>
    <t>In this paper we explore where information is collected and how it is propagated throughout layers in large language models (LLMs). We begin by examining the surprising computational importance of punctuation tokens which previous work has identified as attention sinks and memory aids. Using intervention-based techniques, we evaluate the necessity and sufficiency of punctuation tokens across layers in GPT-2, DeepSeek, and Gemma. Our results show stark model-specific differences: for GPT-2, punctuation is both necessary and sufficient in multiple layers, while this holds far less in DeepSeek and not at all in Gemma. Extending beyond punctuation, we ask whether LLMs process different components of input (e.g., subjects, adjectives, punctuation, full sentences) by forming early static summaries reused across the network, or if the model remains sensitive to changes in these components across layers. We investigate whether different reasoning rules are processed differently by LLMs. In particular, through interchange intervention and layer-swapping experiments, we find that conditional statements (if, then), and universal quantification (for all) are processed very differently. Our findings offer new insight into the internal mechanisms of punctuation usage and reasoning in LLMs and have implications for interpretability and model analysis.</t>
  </si>
  <si>
    <t>Sonakshi Chauhan; Maheep Chaudhary; Choy Kwan Kiu; Samuel Nellessen; Nandi Schoots</t>
  </si>
  <si>
    <t>Sonakshi Chauhan</t>
  </si>
  <si>
    <t>1147-FIND</t>
  </si>
  <si>
    <t>Test-time Corpus Feedback: From Retrieval to RAG</t>
  </si>
  <si>
    <t>Retrieval-Augmented Generation (RAG) has emerged as a standard framework for knowledge-intensive NLP tasks, combining large language models (LLMs) with document retrieval from external corpora. Despite its widespread use, most RAG pipelines continue to treat retrieval and reasoning as isolated componentsвЂ”retrieving documents once and then generating answers without further interaction. This static design often limits performance on complex tasks that require iterative evidence gathering or high-precision retrieval. Recent work in both the information retrieval (IR) and NLP communities has begun to close this gap by introducing adaptive retrieval and ranking methods that incorporate feedback. In this survey, we present a structured overview of advanced retrieval and ranking mechanisms that integrate such feedback. We categorize feedback signals based on their source and role in improving the query, retrieved context, or document pool. By consolidating these developments, we aim to bridge IR and NLP perspectives and highlight retrieval as a dynamic, learnable component of end-to-end RAG systems.</t>
  </si>
  <si>
    <t>Mandeep Rathee; Venktesh V; Sean MacAvaney; Avishek Anand</t>
  </si>
  <si>
    <t>Mandeep Rathee</t>
  </si>
  <si>
    <t>1149-FIND</t>
  </si>
  <si>
    <t>RADAR: A Reasoning-Guided Attribution Framework for Explainable Visual Data Analysis</t>
  </si>
  <si>
    <t>Data visualizations like charts are fundamental tools for quantitative analysis and decision-making across fields, requiring accurate interpretation and mathematical reasoning. The emergence of Multimodal Large Language Models (MLLMs) offers promising capabilities for automated visual data analysis, such as processing charts, answering questions, and generating summaries. However, they provide no visibility into which parts of the visual data informed their conclusions; this black-box nature poses significant challenges to real-world trust and adoption. In this paper, we take the first major step toward evaluating and enhancing the capabilities of MLLMs to attribute their reasoning process by highlighting the specific regions in charts and graphs that justify model answers. To this end, we contribute RADAR, a semi-automatic approach to obtain a benchmark dataset comprising 17,819 diverse samples with charts, questions, reasoning steps, and attribution annotations. We also introduce a method that provides attribution for chart-based mathematical reasoning. Experimental results demonstrate that our reasoning-guided approach improves attribution accuracy by up to 15 percentage points compared to baseline methods, and enhanced attribution capabilities translate to stronger answer generation, achieving high semantic similarity (BERTScore $\sim$ 0.90) with ground truth responses. This advancement represents a significant step toward more interpretable and trustworthy chart analysis systems, enabling users to verify and understand model decisions through reasoning and attribution.</t>
  </si>
  <si>
    <t>Anku Rani; Aparna Garimella; Apoorv Saxena; Balaji Vasan Srinivasan; Paul Pu Liang</t>
  </si>
  <si>
    <t>Anku Rani</t>
  </si>
  <si>
    <t>1160-FIND</t>
  </si>
  <si>
    <t>A Domain-Specific Curated Benchmark for Entity and Document-Level Relation Extraction</t>
  </si>
  <si>
    <t>Information Extraction (IE), encompassing Named Entity Recognition (NER), Named Entity Linking (NEL), and Relation Extraction (RE), is critical for transforming the rapidly growing volume of scientific publications into structured, actionable knowledge. This need is especially evident in fast-evolving biomedical fields such as the gut-brain axis, where research investigates complex interactions between the gut microbiota and brain-related disorders. Existing biomedical IE benchmarks, however, are often narrow in scope and rely heavily on distantly supervised or automatically generated annotations, limiting their utility for advancing robust IE methods. We introduce GutBrainIE, a benchmark based on more than 1,600 PubMed abstracts, manually annotated by biomedical and terminological experts with fine-grained entities, concept-level links, and relations. While grounded in the gut-brain axis, the benchmarkвЂ™s rich schema, multiple tasks, and combination of highly curated and weakly supervised data make it broadly applicable to the development and evaluation of biomedical IE systems across domains.</t>
  </si>
  <si>
    <t>Marco Martinelli; Stefano Marchesin; Vanessa Bonato; Giorgio Di Nunzio; Nicola Ferro; Ornella Irrera; Laura Menotti; Federica Vezzani; Gianmaria Silvello</t>
  </si>
  <si>
    <t>Marco Martinelli</t>
  </si>
  <si>
    <t>1173-FIND</t>
  </si>
  <si>
    <t>Neural network embeddings recover value dimensions from psychometric survey items on par with human data</t>
  </si>
  <si>
    <t>This study introduces "Survey and Questionnaire Item Embeddings Differentials" (SQuID), a novel methodological approach that enables neural network embeddings to effectively recover latent dimensions from psychometric survey items. We demonstrate that embeddings derived from large language models, when processed with SQuID, can recover the structure of human values obtained from human rater judgments on the Revised Portrait Value Questionnaire (PVQ-RR). Our experimental validation compares multiple embedding models across a number of evaluation metrics. Unlike previous approaches, SQuID successfully addresses the challenge of obtaining negative correlations between dimensions without requiring domain-specific fine-tuning. Quantitative analysis reveals that our embedding-based approach explains 55% of variance in dimension-dimension similarities compared to human data. Multidimensional scaling configurations from both types of data show fair factor congruence coefficients and largely follow the underlying theory. These results demonstrate that semantic embeddings can effectively replicate psychometric structures previously established through extensive human surveys. The approach offers substantial advantages in cost, scalability and flexibility while maintaining comparable quality to traditional methods. Our findings have significant implications for psychometrics and social science research, providing a complementary methodology that could expand the scope of human behavior and experience represented in measurement tools.</t>
  </si>
  <si>
    <t>Max Pellert; Clemens M Lechner; Indira Sen; Markus Strohmaier</t>
  </si>
  <si>
    <t>Max Pellert</t>
  </si>
  <si>
    <t>1177-FIND</t>
  </si>
  <si>
    <t>Compositional Reasoning via Joint Image and Language Decomposition</t>
  </si>
  <si>
    <t>Multimodal reasoning tasks such as visual question answering (VQA) require models to process both language and visual inputs. However, existing approaches typically decompose only language queries, treating images as monolithic inputs. We introduce REDI, a framework that jointly decomposes both images and questions into visual sub-domains (segmentation, material, depth, and color) with corresponding sub-questions. REDI employs an orchestrator agent that coordinates specialized worker agents, where each worker specializes in a specific visual sub-domain, and aggregates their responses through meta-reasoning. This hierarchical multi-agent design mitigates error propagation and improves compositional reasoning across both open- and closed-source MLLMs. On SEEDBench, MMBench, and CLEVR, REDI achieves absolute accuracy improvements of 8.9%, 8.2%, and 16.0%, respectively, marking a significant advancement in compositional multimodal reasoning. The code will be released on acceptance.</t>
  </si>
  <si>
    <t>Dwip Dalal; Madhav Kanda; Zhenhailong Wang; Heng Ji; Unnat Jain</t>
  </si>
  <si>
    <t>1180-FIND</t>
  </si>
  <si>
    <t>Better Call CLAUSE: A Discrepancy Benchmark for Auditing LLMs Legal Reasoning Capabilities</t>
  </si>
  <si>
    <t>The rapid integration of large language models (LLMs) into high-stakes legal work has exposed a critical gap: no benchmark exists to systematically stress-test their reliability against the nuanced, adversarial, and often subtle flaws present in real-world contracts. To address this, we introduce CLAUSE, a first-of-its-kind benchmark designed to evaluate the fragility of an LLM's legal reasoning. We study the capabilities of LLMs to detect and reason about fine-grained discrepancies by producing over 7500 real-world perturbed contracts from foundational datasets like CUAD and ContractNLI. Our novel, persona-driven pipeline generates 10 distinct anomaly categories, which are then validated against official statutes using a Retrieval-Augmented Generation (RAG) system to ensure legal fidelity. We use CLAUSE to evaluate leading LLMsвЂ™ ability to detect embedded legal flaws and explain their significance. Our analysis shows a key weakness: these models often miss subtle errors and struggle even more to justify them legally. Our work outlines a path to identify and correct such reasoning failures in legal AI.</t>
  </si>
  <si>
    <t>Manan Roy Choudhury; Adithya Chandramouli; Mannan Anand; Vivek Gupta</t>
  </si>
  <si>
    <t>Mannan Anand</t>
  </si>
  <si>
    <t>1184-FIND</t>
  </si>
  <si>
    <t>Token-Wise Kernels (TWiKers) for Vicinity-Aware Attention in Transformers</t>
  </si>
  <si>
    <t>Self-attention mechanisms in transformers enable tokens to interact across a sequence but lack an explicit inductive bias to capture local contextual dependencies, an inherent characteristic of human languages. We propose Token-Wise Kernels (TWiKers), a novel enhancement to transformers that learn token-specific convolutional kernels applied to the keys or values. Each token is assigned a small kernel, initialized to the "Central Dirac" (e.g., [0,1,0] for size=3), meaning the token "bears" the attention from all other tokens alone. During training, these kernels adapt, and greater deviation from the Central Dirac indicates stronger attention redistribution to neighboring tokens. This introduces the first transformer weights encoding lexical redistribution patterns in a directly interpretable form, without additional post-hoc analysis. Our experiments show that content words (e.g., nouns and verbs) retain self-focus, while function words (e.g., prepositions and conjunctions) shift attention toward their neighbors, aligning with their syntactic and semantic roles. We further apply TWiKers to distinguish literary genres, historical periods, and authors, demonstrating their effectiveness in capturing high-level stylistic patterns. Finally, we demonstrate the potential of TWiKers as an effective inductive bias to improve transformer training, validated across a range of downstream tasks.</t>
  </si>
  <si>
    <t>Kuangdai Leng; Jia Bi; Samuel Pinilla; Jaehoon Cha</t>
  </si>
  <si>
    <t>Kuangdai Leng; Jia Bi</t>
  </si>
  <si>
    <t>1187-FIND</t>
  </si>
  <si>
    <t>Beyond a Single Extractor: Re-thinking HTML-to-Text Extraction for LLM Pre-training</t>
  </si>
  <si>
    <t>The first pre-processing step for constructing web-crawled LLM pre-training datasets involves extracting text from HTML. Despite the immense diversity of web content, existing open-source datasets predominantly apply a single fixed extractor on all webpages. In this work, we investigate whether this practice leads to suboptimal dataset coverage. We first show that while different extractors yield similar performance on standard language understanding tasks, the pages surviving a fixed filtering pipeline can differ substantially. This suggests a simple intervention: by taking a Union over different extractors, we can increase the token yield of DCLM-Baseline by up to 71% while maintaining benchmark performance. We further show that for structured content such as tables and codeblocks, extractor choice significantly impacts downstream task performance, with differences up to 8 percentage points (p.p.) on WikiTQ and 2 p.p. on HumanEval.</t>
  </si>
  <si>
    <t>Jeffrey Li; Joshua P Gardner; Doug Kang; Fangping Shi; Karanjeet Singh; Chun-Liang Li; Herumb Shandilya; David Leo Wright Hall; Oncel Tuzel; Percy Liang; Ludwig Schmidt; Hadi Pouransari; Fartash Faghri</t>
  </si>
  <si>
    <t>Jeffrey Li</t>
  </si>
  <si>
    <t>1191-FIND</t>
  </si>
  <si>
    <t>Can Models Help Us Create Better Models? Evaluating LLMs as Data Scientists</t>
  </si>
  <si>
    <t>We present FeatEng, a novel benchmark designed to evaluate the ability of large language models (LLMs) to perform feature engineering, a critical and knowledge-intensive task in data science. FeatEng assesses LLMs by their capacity to generate Python code that transforms raw tabular data into features that improve the performance of a downstream machine learning model. Our analysis of LLM outputs reveals that success on FeatEng often requires the application of significant world and domain knowledge, along with complex reasoning, to construct novel data representations. While focused on feature engineering, the benchmark probes a confluence of abilities indicative of an LLM's broader potential for practical, data-centric problem-solving. We demonstrate that FeatEng offers a targeted and efficient approach to assess a specific but crucial aspect of LLM capabilities relevant to real-world data science applications.</t>
  </si>
  <si>
    <t>MichaЕ‚ Pietruszka; ЕЃukasz Borchmann; Aleksander JД™drosz; PaweЕ‚ Morawiecki</t>
  </si>
  <si>
    <t>Michał Pietruszka</t>
  </si>
  <si>
    <t>1192-FIND</t>
  </si>
  <si>
    <t>Distill and Align Decomposition for Enhanced Claim Verification</t>
  </si>
  <si>
    <t>Complex claim verification requires decomposing sentences into verifiable subclaims, yet existing methods struggle to align decomposition quality with verification performance. We propose a reinforcement learning (RL) approach that jointly optimizes decomposition quality and verifier alignment using Group Relative Policy Optimization (GRPO). Our method integrates: (i) structured sequential reasoning; (ii) supervised finetuning on teacher-distilled exemplars; and (iii) a multi-objective reward balancing format compliance, verifier alignment, and decomposition quality. Across six evaluation settings, our trained 8B decomposer improves downstream verification performance to 71.75% macro-F1, outperforming prompt-based approaches (+1.99, +6.24) and existing RL methods (+5.84). Human evaluation confirms the high quality of the generated subclaims. Our framework enables smaller language models to achieve state-of-the-art claim verification by jointly optimising for verification accuracy and decomposition.</t>
  </si>
  <si>
    <t>Jabez Magomere; Elena Kochkina; Samuel Mensah; Simerjot Kaur; Fernando Acero; Arturo Oncevay; Charese Smiley; Xiaomo Liu; Manuela Veloso</t>
  </si>
  <si>
    <t>Elena Kochkina</t>
  </si>
  <si>
    <t>1193-FIND</t>
  </si>
  <si>
    <t>Human-Aligned Faithfulness in Toxicity Explanations of LLMs</t>
  </si>
  <si>
    <t>The discourse around toxicity and LLMs in NLP largely revolves around detection tasks. This work shifts the focus to evaluating LLMs' _reasoning_ about toxicity&amp;mdash;from their explanations that justify a stance&amp;mdash;to enhance their trustworthiness in downstream tasks. Despite extensive research on explainability, it is not straightforward to adopt existing methods to evaluate free-form toxicity explanation due to their over-reliance on input text perturbations, among other challenges. To account for these, we propose a novel, theoretically-grounded multi-dimensional criterion (HAF), that measures the extent to which LLMs' free-form toxicity explanations align with those of a rational human under ideal conditions. We develop six metrics, based on uncertainty quantification, to comprehensively evaluate HAF of LLMs' toxicity explanations with no human involvement, and highlight how "non-ideal" the explanations are. We conduct several experiments on three Llama models (of size up to 70B) and an 8B Ministral model on five diverse toxicity datasets. Our results show that while LLMs generate plausible explanations to simple prompts, their reasoning about toxicity breaks down when prompted about the nuanced relations between the complete set of reasons, the individual reasons, and their toxicity stances, resulting in inconsistent and irrelevant responses. We open-source our [code](https://anonymous.4open.science/r/safte-7AE0/) and [LLM-generated explanations](https://anonymous.4open.science/r/safte-7AE0/haf_results/HAF_sample_data.xlsx).</t>
  </si>
  <si>
    <t>Ramaravind Kommiya Mothilal; Joanna Roy; Syed Ishtiaque Ahmed; Shion Guha</t>
  </si>
  <si>
    <t>Ramaravind Kommiya Mothilal</t>
  </si>
  <si>
    <t>1200-FIND</t>
  </si>
  <si>
    <t>QueStER: Query Specification for Generative Keyword-Based Retrieval</t>
  </si>
  <si>
    <t>Generative retrieval (GR) differs from the traditional indexвЂ“thenвЂ“retrieve pipeline by storing relevance in model parameters and generating retrieval cues directly from the query, but it can be brittle out of domain and expensive to scale. We introduce QueStER (QUEry SpecificaTion for gEnerative Keyword-Based Retrieval), which bridges GR and query reformulation by learning to generate explicit keyword-based search specifications. Given a user query, a lightweight LLM produces a keyword query that is executed by a standard retriever (BM25), combining the generalization benefits of generative query rewriting with the efficiency and scalability of lexical indexing. We train the rewriting policy with reinforcement learning techniques. Across in- and out-of-domain evaluations, QueStER consistently improves over BM25 and is competitive with neural IR baselines, while maintaining strong efficiency.</t>
  </si>
  <si>
    <t>Arthur SATOUF; Yuxuan ZONG; Habiboulaye Amadou Boubacar; Pablo Piantanida; Benjamin Piwowarski</t>
  </si>
  <si>
    <t>Arthur SATOUF</t>
  </si>
  <si>
    <t>1204-FIND</t>
  </si>
  <si>
    <t>Event Detection with a Context-Aware Encoder and LoRA for Improved Performance on Long-Tailed Classes</t>
  </si>
  <si>
    <t>The current state of event detection research has two notable re-occurring limitations that we investigate in this study. First, the unidirectional nature of decoder-only LLMs presents a fundamental architectural bottleneck for natural language understanding tasks that depend on rich, bidirectional context. Second, we confront the conventional reliance on Micro-F1 scores in event detection literature, which systematically inflates performance by favoring majority classes. Instead, we focus on Macro-F1 as a more representative measure of a model's ability across the long-tail of event types. Our experiments demonstrate that models enhanced with sentence context achieve superior performance over canonical decoder-only baselines. Using Low-Rank Adaptation (LoRA) during finetuning provides a substantial boost in Macro-F1 scores in particular, especially for the decoder-only models, showing that LoRA can be an effective tool to enhance LLMs' performance on long-tailed event classes.</t>
  </si>
  <si>
    <t>Abdullah Al Monsur; Nitesh Vamshi Bommisetty; Gene Louis Kim</t>
  </si>
  <si>
    <t>Abdullah Al Monsur</t>
  </si>
  <si>
    <t>1237-FIND</t>
  </si>
  <si>
    <t>Task-aware Block Pruning with Output Distribution Signals for Large Language Models</t>
  </si>
  <si>
    <t>Large language models (LLMs) provide excellent performance, but their practical deployment is limited by significant inference costs. While block pruning effectively reduces latency with structural coherence, existing methods typically rely on representation similarity or costly sensitivity analyses, thus neglecting task-aware model behavior. Here, we introduce a novel block-pruning method that quantifies block-level uncertainty by measuring statistics on each block's early-exited output distribution on a calibration dataset, in order to identify prunable blocks. Extensive experiments validate the effectiveness of the proposed method, demonstrating substantial efficiency gains without compromising downstream task performance, while avoiding cost-heavy sensitivity analysis.</t>
  </si>
  <si>
    <t>Song-ha Jo; Youngrok Ko; Sang-goo Lee; Jinseok Seol</t>
  </si>
  <si>
    <t>Song-ha Jo</t>
  </si>
  <si>
    <t>1248-FIND</t>
  </si>
  <si>
    <t>LARA: LLM-based Agile Power Distribution Network Restoration from Disastrous Events</t>
  </si>
  <si>
    <t>Restoring power distribution networks after disruptions demands rapid, reliable coordination across repair crews, mobile power sources, and switching actions under strict constraints. Classical optimization yields high-quality plans but can be slow, while reinforcement learning often requires feeder-specific training and careful reward shaping. We recast restoration as language-conditioned planning: a large language model generates high-level restoration plans over a compact pre-validated catalogue of feasible actions. This constrained generation design makes decisions reliably, scalably, and interpretably, and allows for real-time human-in-the-loop decision-making while requiring no topology-specific setup or retraining. Our method achieves near-mixed-integer-linear programming performance on the IEEE 13-node standard power distribution feeder and outperforms a time-capped MILP solver on the IEEE 33-node standard feeder by around 13\%, while using less than 1\% of its wall-clock runtime.</t>
  </si>
  <si>
    <t>Jishnu Warrier; Heqing Huang; Yuzhang Lin; Sai Qian Zhang</t>
  </si>
  <si>
    <t>Jishnu Warrier</t>
  </si>
  <si>
    <t>1253-FIND</t>
  </si>
  <si>
    <t>Evaluating Multi-Hop Reasoning in Large Language Models: A Chemistry-Centric Benchmark</t>
  </si>
  <si>
    <t>We introduce ChemComp, the first chemistry-focused benchmark for evaluating compositional multi-hop reasoning in large language models (LLMs). Our automated pipeline constructs benchmarks from proprietary or public data by integrating generative reasoning models, chemical named-entity recognition, and external knowledge bases to build knowledge graphs. Applied to recent chemistry literature, this approach minimizes overlap with LLM pretraining data. The resulting dataset comprises 1,188 multi-hop questions, refined through domain-expert feedback and robust evaluation protocols. Using ChemComp, we systematically compare LLM performance with and without retrieval augmentation, including an idealized gold-context scenario. Our results show that even state-of-the-art models struggle with compositional reasoning: retrieval significantly improves accuracy, yet reasoning errors persist even under perfect retrieval. These findings highlight the limitations of current LLMs and the critical role of retrieval-augmented methods in scientific reasoning. Furthermore, our pipeline is generalizable with fine-tuning, enabling the creation of challenging multi-hop reasoning benchmarks across domains and proprietary datasets.</t>
  </si>
  <si>
    <t>Mohammad Khodadad; Ali Shiraee Kasmaee; Mahdi Astaraki; Nicholas Sherck; Hamidreza Mahyar; Soheila Samiee</t>
  </si>
  <si>
    <t>Soheila Samiee</t>
  </si>
  <si>
    <t>1256-FIND</t>
  </si>
  <si>
    <t>SD-E2: Semantic Exploration for Reasoning Under Token Budgets</t>
  </si>
  <si>
    <t>Small language models (SLMs) struggle with complex reasoning because exploration is expensive under tight compute budgets. We introduce Semantic Diversity вЂ“ ExplorationвЂ“Exploitation (SD-E2), a reinforcement learning framework that makes exploration explicit by optimizing semantic diversity in generated reasoning trajectories. Using a frozen sentence-embedding model, SD-E2 assigns a diversity reward that captures (i) the coverage of semantically distinct solution strategies and (ii) their average pairwise dissimilarity in embedding space, rather than surface-form novelty. This diversity reward is combined with outcome correctness and solution efficiency in a -scoreвЂ“normalized multi-objective objective that stabilizes training. On GSM8K, SD-E2 surpasses the base Qwen2.5-3B-Instruct and strong GRPO baselines (GRPO-CFL and GRPO-CFEE) by +26.0, +6.0, and +1.5 percentage points, respectively, while discovering on average 9.8 semantically distinct strategies per question. These results indicate that rewarding semantic novelty yields a more compute-efficient explorationвЂ“exploitation signal for training reasoning-capable SLMs. By introducing cognitive adaptation (adjusting the reasoning process structure rather than per-token computation), SD-E2 offers a complementary path to efficiency gains in resource-constrained models.</t>
  </si>
  <si>
    <t>Kshitij Mishra; Nils Lukas; Salem Lahlou</t>
  </si>
  <si>
    <t>Kshitij Mishra</t>
  </si>
  <si>
    <t>1257-FIND</t>
  </si>
  <si>
    <t>Risk Assessment of Power Outages as Rare Events with Learning Models and LLMs</t>
  </si>
  <si>
    <t>Large Language Models (LLMs) are increasingly being considered for high-stakes decision-making, yet their application in statistical risk analysis remains largely underexplored. A central challenge in this domain is enabling LLMs to effectively leverage historical data. To address this, we propose novel methods for extracting key information from raw data and translating it into structured contextual input within the LLM prompt. Applying our methods to a case study of power outage risk assessment, we demonstrate that this contextualization strategy significantly improves the LLM's performance in risk assessment tasks. While the LLM's numerical predictions still do not match those of a standard machine learning model, the LLM-based approach offers distinct advantages in versatility and interpretability. These findings demonstrate a new paradigm for contextualizing data to support risk assessment.</t>
  </si>
  <si>
    <t>Haiyun Huang; Yukun Li; Marco A Pretell; Jacob Naroian; Ebadah Khan; Liping Liu</t>
  </si>
  <si>
    <t>1277-FIND</t>
  </si>
  <si>
    <t>DAMASHA: Detecting AI in Mixed Adversarial Texts via Segmentation with Human-interpretable Attribution</t>
  </si>
  <si>
    <t>In the age of advanced large language models (LLMs), the boundaries between human and AI-generated text are becoming increasingly blurred. We address the challenge of segmenting mixed-authorship text, that is identifying transition points in text where authorship shifts from human to AI or vice-versa, a problem with critical implications for authenticity, trust, and human oversight. We introduce a novel framework, called Info-Mask for mixed authorship detection that integrates stylometric cues, perplexity-driven signals, and structured boundary modeling to accurately segment collaborative human-AI content. To evaluate the robustness of our system against adversarial perturbations, we construct and release an adversarial benchmark dataset Mixed-text Adversarial setting for Segmentation (MAS), designed to probe the limits of existing detectors. Beyond segmentation accuracy, we introduce Human-Interpretable Attribution (HIA) overlays that highlight how stylometric features inform boundary predictions, and we conduct a small-scale human study assessing their usefulness. Across multiple architectures, Info-Mask significantly improves span-level robustness under adversarial conditions, establishing new baselines while revealing remaining challenges. Our findings highlight both the promise and limitations of adversarially robust, interpretable mixed-authorship detection, with implications for trust and oversight in human-AI co-authorship.</t>
  </si>
  <si>
    <t>L D M S Sai Teja; N Siva Gopala Krishna; Ufaq Khan; Muhammad Haris Khan; Partha Pakray; Atul Mishra</t>
  </si>
  <si>
    <t>L D M S Sai Teja</t>
  </si>
  <si>
    <t>1281-FIND</t>
  </si>
  <si>
    <t>Improving LLM Responses to Sensitive Topics Through Fine-Grained Evaluation</t>
  </si>
  <si>
    <t>Large Language Models (LLMs) often default to overly cautious and vague responses when handling sensitive topics, sacrificing helpfulness for safety. Existing evaluation frameworks lack systematic methods to identify and address specific weaknesses in responses to sensitive topics, making it difficult to improve both safety and helpfulness simultaneously. To address this, we introduce FINEST, a FINE-grained response evaluation taxonomy for Sensitive Topics, which breaks down helpfulness and harmlessness into errors across three main categories: Content, Logic, and Appropriateness. Experiments on a Korean-sensitive question dataset demonstrate that our score- and error-based improvement pipeline, guided by FINEST, significantly improves the model responses across all three categories, outperforming refinement without guidance. Notably, score-based improvement---providing category-specific scores and justifications---yields the most significant gains, reducing the error sentence ratio for Appropriateness by up to 33.09%. This work lays the foundation for a more explainable and comprehensive evaluation and improvement of LLM responses to sensitive questions.</t>
  </si>
  <si>
    <t>Juhyun Oh; Nayeon Lee; Chani Jung; Jiho Jin; Junho Myung; Jongwon Lee; Taieui Song; Alice Oh</t>
  </si>
  <si>
    <t>Juhyun Oh</t>
  </si>
  <si>
    <t>1298-FIND</t>
  </si>
  <si>
    <t>ILSIC: Corpora for Identifying Indian Legal Statutes from Queries by Laymen</t>
  </si>
  <si>
    <t>Identifying legal statutes given a situation is one of the most fundamental tasks in Legal NLP, and traditionally has been modeled using facts from court judgments as input, due to their abundance. However, in practical settings, the input queries are likely to be informal and asked by laymen, or non-professionals. This has led to the development of some layman LSI datasets, although there has been little research to explore the differences between court and layman data for LSI. In this work, we create ILSIC, a corpus of layman queries covering 500+ statutes from Indian law. Additionally, the corpus also contains court cases to enable researchers to effectively compare between court and layman data for LSI. We conducted extensive experiments on our corpus, including benchmarking over the layman dataset using zero and few-shot inference, retrieval-augmented generation and supervised fine-tuning. When comparing the different types of data, we observe that models trained purely on court queries are ineffective during test time on layman queries, while transfer learning from court to layman data can be beneficial in certain scenarios. We also conducted fine-grained analyses of our results in terms of categories of queries and frequency of statutes.</t>
  </si>
  <si>
    <t>Shounak Paul; Raghav Dogra; Pawan Goyal; Saptarshi Ghosh</t>
  </si>
  <si>
    <t>Raghav Dogra</t>
  </si>
  <si>
    <t>1308-FIND</t>
  </si>
  <si>
    <t>SrcMix: Mixing of Related Source Languages Benefits Extremely Low-resource Machine Translation</t>
  </si>
  <si>
    <t>Multilingual models are widely used for machine translation (MT). However, their effectiveness for extremely low-resource languages (ELRLs) depends critically on how related languages are incorporated during fine-tuning. In this work, we study the role of language mixing directionality, linguistic relatedness, and script compatibility in ELRL translation. We propose SrcMix, a simple source-side mixing strategy that combines related ELRLs during fine-tuning while constraining the decoder to a single target language. Compared to its target-side counterpart TgtMix, SrcMix improves performance by +3 ChrF++ and +5 BLEU in high-resource to ELRL translations, and by +5 ChrF++ and +12 BLEU in mid-resource to ELRL translations. We also release the first Angika MT dataset and provide a systematic comparison of LLM (Aya-101) and NMT (mT5-Large) models under ELRL settings, highlighting the importance of directional mixing and linguistic compatibility.</t>
  </si>
  <si>
    <t>Sanjeev Kumar; Preethi Jyothi; Pushpak Bhattacharyya</t>
  </si>
  <si>
    <t>Sanjeev Kumar</t>
  </si>
  <si>
    <t>1309-FIND</t>
  </si>
  <si>
    <t>IMRNNs: An Efficient Method for Interpretable Dense Retrieval via Embedding Modulation</t>
  </si>
  <si>
    <t>Interpretability in black-box dense retrievers remains a central challenge in Retrieval-Augmented Generation (RAG). Understanding how queries and documents semantically interact is critical for diagnosing retrieval behavior and improving model design. However, existing dense retrievers rely on static embeddings for both queries and documents, which obscures this bidirectional relationship. Post-hoc approaches such as re-rankers are computationally expensive, add inference latency, and still fail to reveal the underlying semantic alignment. To address these limitations, we propose Interpretable Modular Retrieval Neural Networks (IMRNNs), a lightweight framework that augments any dense retriever with dynamic, bidirectional modulation at inference time. IMRNNs employ two independent adapters: one conditions document embeddings on the current query, while the other refines the query embedding using corpus-level feedback from initially retrieved documents. This iterative modulation process enables the model to adapt representations dynamically and expose interpretable semantic dependencies between queries and documents. Empirically, IMRNNs not only enhance interpretability but also improve retrieval effectiveness. Across seven benchmark datasets, applying our method to standard dense retrievers yields average gains of +6.35% nDCG, +7.14% recall, and +7.04% MRR over state-of-the-art baselines. These results demonstrate that incorporating interpretability-driven modulation can both explain and enhance retrieval in RAG systems.</t>
  </si>
  <si>
    <t>Yash Saxena; Ankur Padia; Kalpa Gunaratna; Manas Gaur</t>
  </si>
  <si>
    <t>Yash Saxena</t>
  </si>
  <si>
    <t>1342-FIND</t>
  </si>
  <si>
    <t>Learning to Judge: LLMs Designing and Applying Evaluation Rubrics</t>
  </si>
  <si>
    <t>Large language models (LLMs) are increasingly used as evaluators for natural language generation, applying human-defined rubrics to assess system outputs. However, human rubrics are often static and misaligned with how models internally represent language quality. We introduce GER-Eval (Generating Evaluation Rubrics for Evaluation) to investigate whether LLMs can design and use their own evaluation rubrics. We evaluate the semantic coherence and scoring reliability of LLM-defined criteria and their alignment with human criteria. LLMs reliably generate interpretable and task-aware evaluation dimensions and apply them within models, but their scoring reliability degrades in factual and knowledge-intensive settings. Closed-source models such as GPT-4o achieve higher agreement and cross-model generalization than open-weight models such as Llama. Our findings position evaluation as a learned linguistic capability of LLMsвЂ”consistent within models but fragmented across themвЂ”and call for new methods that jointly model human and LLM evaluative language to improve reliability and interpretability.</t>
  </si>
  <si>
    <t>Clemencia Siro; Pourya Aliannejadi; Mohammad Aliannejadi</t>
  </si>
  <si>
    <t>Clemencia Siro</t>
  </si>
  <si>
    <t>1348-FIND</t>
  </si>
  <si>
    <t>PsyProbe: Proactive and Interpretable Dialogue through User State Modeling for Exploratory Counseling</t>
  </si>
  <si>
    <t>Recent advances in large language models have enabled mental health dialogue systems, yet existing approaches remain predominantly reactive, lacking systematic user state modeling for proactive therapeutic exploration. We introduce PsyProbe, a dialogue system designed for the exploration phase of counseling that systematically tracks user psychological states through the PPPPPI framework (Presenting, Predisposing, Precipitating, Perpetuating, Protective, Impact) augmented with cognitive error detection. PsyProbe combines State Builder for extracting structured psychological profiles, Memory Construction for tracking information gaps, Strategy Planner for Motivational Interviewing behavioral codes, and Response Generator with Question Ideation and Critic/Revision modules to generate contextually appropriate, proactive questions. We evaluate PsyProbe with 27 participants in real-world Korean counseling scenarios, including automatic evaluation across ablation modes, user evaluation, and expert evaluation by a certified counselor. The full PsyProbe model consistently outperforms baseline and ablation modes in automatic evaluation. User evaluation demonstrates significantly increased engagement intention and improved naturalness compared to baseline. Expert evaluation shows that PsyProbe substantially improves core issue understanding and achieves question rates comparable to professional counselors, validating the effectiveness of systematic state modeling and proactive questioning for therapeutic exploration.</t>
  </si>
  <si>
    <t>Sohhyung Park; Hyunji Kang; Sungzoon Cho; Dongil Kim</t>
  </si>
  <si>
    <t>Sohhyung Park</t>
  </si>
  <si>
    <t>1355-FIND</t>
  </si>
  <si>
    <t>DeVisE: Towards the Behavioral Testing of Medical Large Language Models</t>
  </si>
  <si>
    <t>Large language models (LLMs) are increasingly applied in clinical decision support, yet current evaluations rarely reveal whether their outputs reflect genuine medical reasoning or superficial correlations. We introduce DeVisE (Demographics and Vital signs Evaluation), a behavioral testing framework that probe fine-grained clinical understanding through controlled counterfactuals. Using intensive care unit (ICU) discharge notes from MIMIC-IV, we construct both raw (real-world) and template-based (synthetic) variants with single-variable perturbations in demographic (age, gender, ethnicity) and vital sign attributes. We evaluate five LLMs, spanning general-purpose and medical variants, under zero-shot and fine-tuned settings. Model behavior is analyzed through (1) input-level sensitivity, capturing how counterfactuals alter likelihoods, and (2) downstream reasoning, measuring their effect on predicted ICU length-of-stay. Zero-shot models exhibit more coherent and clinically aligned reasoning patterns, whereas fine-tuned ones are stabler but less sensitive to meaningful changes. Demographic factors subtly yet consistently shape predictions, emphasizing the need for fairness-aware evaluation in medical LLMs.</t>
  </si>
  <si>
    <t>Camila Zurdo Tagliabue; Heloisa Oss Boll; Aykut Erdem; Erkut Erdem; Iacer Calixto</t>
  </si>
  <si>
    <t>Camila Zurdo Tagliabue</t>
  </si>
  <si>
    <t>1365-FIND</t>
  </si>
  <si>
    <t>Improving Decoder-only Language Models for Sequence Labeling through Sequence Repetition</t>
  </si>
  <si>
    <t>Modern language models (LMs) are trained in an autoregressive manner, conditioned only on the prefix. In contrast, sequence labeling (SL) tasks assign labels to each individual input token, naturally benefiting from bidirectional context. This discrepancy has historically led SL to rely on inherently bidirectional encoder-only models. However, the rapid development of decoder-only models has raised the question of whether they can be adapted to SL. While causal mask removal has emerged as a viable technique for adapting decoder-only models to leverage the full context for SL, it requires considerable changes to the base model functionality. In this work, we explore sequence repetition (SR) as a less invasive alternative for enabling bidirectionality in decoder-only models. Through fine-tuning experiments, we show that SR inherently makes decoders bidirectional, improving the quality of token-level embeddings and surpassing encoders and unmasked decoders. Contrary to earlier claims, we find that increasing the number of repetitions does not degrade SL performance. Finally, we demonstrate that embeddings from intermediate layers are highly effective for SR, comparable to those from final layers, while being at least 1.33 times more efficient to compute. Our findings underscore that SR alleviates the structural limitations of decoders, enabling more efficient and adaptable LMs and broadening their applicability to other token-level tasks.</t>
  </si>
  <si>
    <t>Matija Luka KukiД‡; Marko ДЊuljak; David DukiД‡; Martin Tutek; Jan Е najder</t>
  </si>
  <si>
    <t>Marko Čuljak</t>
  </si>
  <si>
    <t>1367-FIND</t>
  </si>
  <si>
    <t>MEENA (PersianMMMU): Multimodal-Multilingual Educational Exams for N-level Assessment</t>
  </si>
  <si>
    <t>Recent advancements in large vision-language models (VLMs) have primarily focused on English, with limited attention given to other languages. To address this gap, we introduce MEENA (also known as PersianMMMU), the first dataset designed to evaluate Persian VLMs across scientific, reasoning, and human-level understanding tasks. Our dataset comprises approximately 7,500 Persian and 3,000 English questions, covering a wide range of topics such as reasoning, mathematics, physics, diagrams, charts, and Persian art and literature. Key features of MEENA include: (1) diverse subject coverage spanning various educational levels, from primary to upper secondary school, (2) rich metadata, including difficulty levels and descriptive answers, (3) original Persian data that preserves cultural nuances, (4) a bilingual structure to assess cross-linguistic performance, and (5) a series of diverse experiments assessing various capabilities, including overall performance, the modelвЂ™s ability to attend to images, and its tendency to generate hallucinations. We hope this benchmark contributes to enhancing VLM capabilities beyond English.</t>
  </si>
  <si>
    <t>Omid Ghahroodi; Arshia Hemmat; Marzia Nouri; Seyed Mohammad Hadi Hosseini; Doratossadat Dastgheib; Mohammad Vali Sanian; Alireza Sahebi; Reihaneh Zohrabi; Mohammad Hossein Rohban; Ehsaneddin Asgari; Mahdieh Soleymani Baghshah</t>
  </si>
  <si>
    <t>Ehsanaldin Asgary</t>
  </si>
  <si>
    <t>1368-FIND</t>
  </si>
  <si>
    <t>Teaching Old Tokenizers New Words: Efficient Tokenizer Adaptation for Pretrained Models</t>
  </si>
  <si>
    <t>Tokenizer adaptation plays an important role in transferring pretrained language models to new domains or languages. In this work, we address two complementary aspects of this process: vocabulary extension and pruning. The common approach to extension trains a new tokenizer on domain-specific text and appends the tokens that do not overlap with the existing vocabulary, which often results in many tokens that are unreachable or never used. We propose continued BPE training, a simple alternative that extends an existing tokenizer by continuing its merge operations on new data instead of retraining from scratch. Experiments across multiple languages and model families show that this approach improves tokenization efficiency and leads to better utilization of added vocabulary. We also introduce leaf-based vocabulary pruning, which removes redundant tokens while preserving model quality. Together, these methods provide practical tools for controlled vocabulary modification, and we release an open-source implementation supporting both Byte-level and SentencePiece BPE tokenizers.</t>
  </si>
  <si>
    <t>Taido Purason; Pavel Chizhov; Ivan P. Yamshchikov; Mark Fishel</t>
  </si>
  <si>
    <t>Taido Purason</t>
  </si>
  <si>
    <t>1369-FIND</t>
  </si>
  <si>
    <t>AGIC: Attention-Guided Image Captioning to Improve Caption Relevance</t>
  </si>
  <si>
    <t>Despite significant progress in image captioning, generating accurate and descriptive captions remains a long-standing challenge. In this study, we propose Attention-Guided Image Captioning (AGIC), which amplifies salient visual regions directly in the feature space to guide caption generation. We further introduce a hybrid decoding strategy that combines deterministic and probabilistic sampling to balance fluency and diversity. To evaluate AGIC, we conduct extensive experiments on the Flickr8k and Flickr30k datasets. The results\footnote{We plan to release the code and data.} show that AGIC matches or surpasses several state-of-the-art models while achieving faster inference. Moreover, AGIC demonstrates strong performance across multiple evaluation metrics, offering a scalable and interpretable solution for image captioning.</t>
  </si>
  <si>
    <t>L D M S Sai Teja; Ashok Urlana; Pruthwik Mishra</t>
  </si>
  <si>
    <t>1387-FIND</t>
  </si>
  <si>
    <t>Vietnamese Automatic Speech Recognition: A Revisit</t>
  </si>
  <si>
    <t>Automatic Speech Recognition (ASR) performance is heavily dependent on the availability of large-scale, high-quality datasets. For low-resource languages, existing open-source ASR datasets often suffer from insufficient quality and inconsistent annotation, hindering the development of robust models. To address these challenges, we propose a novel and generalizable data aggregation and preprocessing pipeline designed to construct high-quality ASR datasets from diverse, potentially noisy, open-source sources. Our pipeline incorporates rigorous processing steps to ensure data diversity, balance, and the inclusion of crucial features like word-level timestamps. We demonstrate the effectiveness of our methodology by applying it to Vietnamese, resulting in a unified, high-quality 500-hour dataset that provides a foundation for training and evaluating state-of-the-art Vietnamese ASR systems.</t>
  </si>
  <si>
    <t>Thi Vu; Linh The Nguyen; Dat Quoc Nguyen</t>
  </si>
  <si>
    <t>Thi Vu</t>
  </si>
  <si>
    <t>1388-FIND</t>
  </si>
  <si>
    <t>MapCoder-Lite: Distilling Multi-Agent Coding into a Single Small LLM</t>
  </si>
  <si>
    <t>Large language models (LLMs) have advanced code generation from single-function tasks to competitive-programming problems, but existing multi-agent solutions either rely on costly large-scale ($&gt; 30 B$) models or collapse when downsized to small open-source models. We present MapCoder-Lite, a framework for distilling the complex reasoning of large, multi-agent coding systems into a single 7B model. Our contribution is a novel, three-pillar methodology that synergistically generates, refines, and encodes multi-agent knowledge: (i) pass-based trajectory distillation from strong LLMs fixes format fragility in retrieval and debugging, (ii) supervisor-guided correction strengthens planning and coding agents, and (iii) agent-wise LoRA fine-tuning delivers memory-efficient specialisation. Comprehensive evaluation on xCodeEval, APPS, and CodeContests shows that MapCoder-Lite more than doubles xCodeEval accuracy (13.2% в†’ 28.3%), eliminates all format failures, while reducing GPU memory and token-generation time by $4\times$ compared to a 32B model. It also achieves over 10% gains on simpler coding benchmarks, demonstrating broad improvements beyond competitive programming. These results demonstrate that careful agent-wise fine-tuning unleashes high-quality multi-agent coding on a small language model.</t>
  </si>
  <si>
    <t>Woongkyu Lee; Junhee Cho; Jungwook Choi</t>
  </si>
  <si>
    <t>Woongkyu Lee</t>
  </si>
  <si>
    <t>1403-FIND</t>
  </si>
  <si>
    <t>When Do Language Models Endorse Limitations on Human Rights Principles?</t>
  </si>
  <si>
    <t>As Large Language Models (LLMs) increasingly mediate global information access with the potential to shape public discourse, their alignment with universal human rights principles becomes important to ensure that these rights are abided by in high stakes AI-mediated interactions. In this paper, we evaluate how LLMs navigate trade-offs involving the Universal Declaration of Human Rights (UDHR), leveraging 1,152 synthetically generated scenarios across 24 rights articles in eight languages. Our analysis of eleven major LLMs reveals systematic biases where models: (1) accept limiting Economic, Social, and Cultural rights more often than Political and Civil rights, (2) demonstrate significant cross-linguistic variation with elevated endorsement rates of rights-limiting actions in Chinese and Hindi compared to English or Romanian, (3) show substantial susceptibility to prompt-based steering, and (4) exhibit noticeable differences between Likert and open-ended responses, highlighting critical challenges in LLM preference assessment.</t>
  </si>
  <si>
    <t>Keenan Samway; Miu Nicole Takagi; Rada Mihalcea; Bernhard SchГ¶lkopf; Ilias Chalkidis; Daniel Hershcovich; Zhijing Jin</t>
  </si>
  <si>
    <t>Keenan Samway</t>
  </si>
  <si>
    <t>1406-FIND</t>
  </si>
  <si>
    <t>Abstractive Summarization of Bengali Academic Videos Based on Audio Subtitles</t>
  </si>
  <si>
    <t>The rapid growth of academic video content makes it difficult for students and educators to find relevant information efficiently. This is especially challenging for low-resource languages like Bengali due to the lack of a video summarization tool. This paper presents the first end-to-end pipeline for the abstractive summarization of Bengali academic videos. The proposed system preprocesses audio to improve transcription quality and converts speech to text using GoogleвЂ™s Speech Recognition API. The text is segmented using a smart chunking method to be compatible with the model's context window. For summarization, we fine-tuned the $\textit{BanglaT5}$ model on a new benchmark dataset of 10,029 text-summary pairs obtained from educational videos. To generate relevant titles, we fine-tuned the $\textit{mT5-multilingual-XLSum}$ model on our curated dataset of 1,005 summary-title pairs. Our fine-tuned summarization model shows strong performance, achieving F1 scores of 0.8793 (BERTScore), 0.3894 (ROUGE-1), and 0.2557 (ROUGE-L), outperforming other models. Our title generation model achieved ROUGE-1 and ROUGE-L F1 scores of 0.4476 and 0.3720, respectively. The summaries include timestamps for easy video navigation. This work aims to improve the accessibility of educational content in Bengali. It also contributes valuable datasets and a robust baseline system that demonstrates strong zero-shot capabilities on other spoken contents.</t>
  </si>
  <si>
    <t>Lamisa Bintee Mizan Deya; Farhatun Shama; Abdul Aziz; Md Kaykobad Reza; Md Shahidul Salim</t>
  </si>
  <si>
    <t>Abdul Aziz</t>
  </si>
  <si>
    <t>1412-FIND</t>
  </si>
  <si>
    <t>Active Learning with Non-Uniform Costs for African Natural Language Processing</t>
  </si>
  <si>
    <t>Labeling datasets for African languages presents substantial challenges due to the diverse settings in which annotations are collected, resulting in highly variable labeling costs. These costs can vary with task complexity, annotator expertise, and data availability. Yet, most active learning (AL) frameworks assume uniform annotation costs, limiting their applicability in real-world, resource-constrained scenarios. To address this, we introduce KnapsackBALD, a novel cost-aware active learning method that integrates the BatchBALD acquisition strategy with a 0-1 Knapsack optimization objective to select informative and budget-efficient samples. We evaluate KnapsackBALD on the MasakhaNEWS dataset, a multilingual news classification benchmark covering 11 African languages. Our method consistently outperforms seven strong active learning baselines, including BALD, BatchBALD, and stochastic sampling variants such as PowerBALD and Softmax-BALD, across all three cost scenarios. The performance gap widens as annotation cost imbalances become more extreme, demonstrating the robustness of KnapsackBALD under practical constraints. These findings underscore the need for cost-sensitive acquisition in AL pipelines for African language NLP and beyond.</t>
  </si>
  <si>
    <t>Bonaventure F. P. Dossou; Ines Arous; Audrey Durand; Jackie Chi Kit Cheung</t>
  </si>
  <si>
    <t>Bonaventure F. P. Dossou</t>
  </si>
  <si>
    <t>SALLE Le Chellah</t>
  </si>
  <si>
    <t>23-IND</t>
  </si>
  <si>
    <t>Compact Multimodal Language Models as Robust OCR Alternatives for Noisy Textual Clinical Reports</t>
  </si>
  <si>
    <t>Digitization of medical records often relies on smartphone photographs of printed reports, producing images degraded by blur, shadows, and other noise. Conventional OCR systems, optimized for clean scans, perform poorly under such real-world conditions. This study evaluates compact multimodal language models as privacy-preserving alternatives for transcribing noisy clinical documents. Using obstetric ultrasound reports written in regionally inflected medical English common to Indian healthcare settings, we compare eight systems in terms of transcription accuracy, noise sensitivity, numeric accuracy, and computational efficiency. Compact multimodal models consistently outperform both classical and neural OCR pipelines. Despite higher computational costs, their robustness and linguistic adaptability position them as viable candidates for on-premises healthcare digitization.</t>
  </si>
  <si>
    <t>Nikita Neveditsin, Pawan Lingras, Salil Patil, Swarup Patil, Vijay Kumar Mago</t>
  </si>
  <si>
    <t>Dr. Pawan Lingras</t>
  </si>
  <si>
    <t>34-IND</t>
  </si>
  <si>
    <t>SELENE: Selective and Evidence-Weighted LLM Debating for Efficient and Reliable Reasoning</t>
  </si>
  <si>
    <t xml:space="preserve">Multi-Agent Debate (MAD) frameworks improve factual reliability in large language models (LLMs) by allowing agents to critique and refine one another’s reasoning. Yet, existing MAD systems are computationally expensive and prone to degradation under prolonged debates due to redundant exchanges and unstable judging. We propose a lightweight,industry-deployable alternative that unifies Selective Debate Initiation (SDI) with Evidence Weighted Self-Consistency (EWSC) for adaptive, debate-on-demand reasoning. SDI dynamically predicts when debate is necessary by detecting confidence-likelihood misalignment and semantic disagreement, skipping well-aligned queries to conserve computation. EWSC replaces a single-judge verdict with a variance-aware, evidence-weighted aggregation across paraphrased evaluations, yielding more stable factual judgments. Combined, SDI and EWSC reduce token consumption by nearly 50% while improving both accuracy and calibration. Evaluated on BoolQ, CosmosQA, and an internal QnA benchmark, our framework achieves higher factual robustness and efficiency, demonstrating that scalable, epistemically reliable multi-agent reasoning is practical for real-world LLM deployments. </t>
  </si>
  <si>
    <t>Akshay Verma, Swapnil Gupta, Deepak Gupta, Prateek Sircar, Siddharth Pillai</t>
  </si>
  <si>
    <t>Akshay Verma</t>
  </si>
  <si>
    <t>38-IND</t>
  </si>
  <si>
    <t>SymPyBench: A Dynamic Benchmark for Scientific Reasoning with Executable Python Code</t>
  </si>
  <si>
    <t>We introduce SymPyBench, a large-scale synthetic benchmark of 15K university-level physics problems (90/10% train/test split). Each problem is fully parameterized, supporting an effectively infinite range of input configurations, and is accompanied by structured, step-by-step reasoning and executable Python code that produces the ground-truth solution for any parameter set. The benchmark contains three question types: MC-Symbolic (multiple-choice with symbolic options), MC-Numerical (multiple-choice with numerical options), and free-form (open-ended responses). These diverse formats test complementary reasoning skills. In addition to standard accuracy, we introduce three new metrics: Consistency Score, Failure Rate, and Confusion Rate, that quantify variability and uncertainty across problem variants. Experiments with state-of-the-art instruction-tuned language models reveal both strengths and limitations in scientific reasoning, positioning SymPyBench as a foundation for developing more robust and interpretable reasoning systems.</t>
  </si>
  <si>
    <t>Shima Imani, Seungwhan Moon, Adel Ahmadyan, Lu Zhang, Ahmed Kirmani, Babak Damavandi</t>
  </si>
  <si>
    <t>39-IND</t>
  </si>
  <si>
    <t>KV Pareto: Systems-Level Optimization of KV Cache and Model Compression for Long Context Inference</t>
  </si>
  <si>
    <t>Long-context Large Language Models (LLMs) face significant memory bottlenecks during inference due to the linear growth of key-value (KV) cache with sequence length. While individual optimization techniques like KV cache quantization, chunked prefill, and model weight quantization have shown promise, their joint effects and optimal configurations for edge deployment remain underexplored. We introduce KV Pareto, a systems-level framework that systematically maps the trade-off frontier between total memory consumption and task accuracy across these three complementary optimization techniques. Our framework evaluates multiple LLM architectures (Qwen, Llama, Mistral) with varying KV quantization schemes (int2/4/8, mixed-precision), granularities (per-token, per-tensor, per-block), and 4-bit weight quantization via AWQ. Our framework identifies model-specific Pareto-optimal configurations that achieve 68-78\% total memory reduction with minimal (1-3\%) accuracy degradation on long-context tasks. We additionally verify the selected frontiers on additional benchmarks of Needle-in-a-Haystack, GSM8k and MMLU as well as extended context lengths of up to 128k to demonstrate the practical need of joint optimization for efficient LLM inference.</t>
  </si>
  <si>
    <t>Sai Gokhale, Devleena Das, Rajeev Patwari, Ashish Sirasao, Elliott Delaye</t>
  </si>
  <si>
    <t>Sai Gokhale</t>
  </si>
  <si>
    <t>45-IND</t>
  </si>
  <si>
    <t>MizanQA: A Benchmark for Multi-Answer Moroccan Legal QA</t>
  </si>
  <si>
    <t>We present MizanQA, a benchmark for assessing LLMs on Moroccan legal MCQs, many with multiple correct answers. Covering 1,776 expert-verified questions in Modern Standard Arabic enriched with Moroccan idioms, the dataset reflects influences from Maliki jurisprudence, customary law, and French legal traditions. Unlike single-answer settings, MizanQA features variable option counts, creating added difficulty. We evaluate multilingual and Arabic-centric models in zero-shot, native-Arabic prompts, measuring accuracy, a precision-penalized F1-like score, and calibration errors. Results show large performance gaps and miscalibration, particularly under stricter penalties. By scoping this benchmark to parametric knowledge only, we provide a baseline for future retrieval-augmented and rationale-focused setups.</t>
  </si>
  <si>
    <t>Adil Bahaj, Mounir Ghogho</t>
  </si>
  <si>
    <t>Adil Bahaj</t>
  </si>
  <si>
    <t>46-IND</t>
  </si>
  <si>
    <t>Router-Suggest: A Router-based Framework for Auto-Completions in Visually-Grounded Conversations</t>
  </si>
  <si>
    <t>Real-time multimodal auto-completion is essential for digital assistants, chatbots, design tools, and healthcare consultations, where user inputs rely on shared visual context. We introduce Multimodal Auto-Completion (MAC), a task that predicts upcoming characters in live chats using partially typed text and visual cues. Unlike traditional text-only auto-completion (TAC), MAC grounds predictions in multimodal context to better capture user intent. To enable this task, we adapt MMDialog and ImageChat to create benchmark datasets. We evaluate leading vision-language models (VLMs) against strong textual baselines, highlighting trade-offs in accuracy and efficiency. We present Router-Suggest, a router framework that dynamically selects between textual models and VLMs based on dialog context, along with a lightweight variant for resource-constrained environments. Router-Suggest achieves a 2.3x to 10x speedup over the best-performing VLM. A user study shows that VLMs significantly excel over textual models on user satisfaction, notably saving user typing effort and improving the quality of completions in multi-turn conversations. These findings underscore the need for multimodal context in auto-completions, leading to smarter, user-aware assistants.</t>
  </si>
  <si>
    <t>SANDEEP MISHRA, Devichand Budagam, Anubhab Mandal, Bishal Santra, Pawan Goyal, Manish Gupta</t>
  </si>
  <si>
    <t>Devichand Budagam</t>
  </si>
  <si>
    <t>52-IND</t>
  </si>
  <si>
    <t>Retrieval Enhancements for RAG: Insights from a Deployed Customer Support Chatbot</t>
  </si>
  <si>
    <t>Retrieval-Augmented Generation (RAG) systems depend critically on retrieval quality to enable accurate, contextually relevant LLM responses. While LLMs excel at synthesis, their RAG performance is bottlenecked by document relevance. We evaluate advanced retrieval techniques including embedding model comparison, Reciprocal Rank Fusion (RRF), embedding concatenation and list-wise and adaptive LLM-based re-ranking, demonstrating that zero-shot LLMs outperform traditional cross-encoders in identifying high-relevance passages. We also explore context-aware embeddings, diverse chunking strategies, and model fine-tuning. All methods are rigorously evaluated on a proprietary dataset powering our deployed production chatbot, with validation on three public benchmarks: FiQA, HotpotQA, and SciDocs. Results show consistent gains in Recall@10, closing the gap with Recall@50 and yielding actionable pipeline recommendations. By prioritizing retrieval enhancements, we significantly elevate downstream LLM response quality in real-world, customer-facing applications.</t>
  </si>
  <si>
    <t>Daniel González Juclà, Mohit Tuteja, Marcos Esteve Casademunt, Keshav Unnikrishnan, Yasir Usmani, Arvind Roshaan</t>
  </si>
  <si>
    <t>Marcos Esteve Casademunt</t>
  </si>
  <si>
    <t>57-IND</t>
  </si>
  <si>
    <t>HotelQuEST: Balancing Quality and Efficiency in Agentic Search</t>
  </si>
  <si>
    <t>Agentic search has emerged as a promising paradigm for adaptive retrieval systems powered by large language models (LLMs). However, existing benchmarks primarily focus on quality, overlooking efficiency factors that are critical for real-world deployment. Moreover, real-world user queries often contain underspecified preferences, a challenge that remains largely underexplored in current agentic search evaluation. As a result, many agentic search systems remain impractical despite their impressive performance. In this work, we introduce HotelQuEST, a benchmark comprising 214 hotel search queries that range from simple factual requests to complex queries, enabling evaluation across the full spectrum of query difficulty. We further address the challenge of evaluating underspecified user preferences by collecting clarifications that make annotators' implicit preferences explicit for evaluation. We find that LLM-based agents achieve higher accuracy than traditional retrievers, but at substantially higher costs due to redundant tool calls and suboptimal routing that fails to match query complexity to model capability. Our analysis exposes inefficiencies in current agentic search systems and demonstrates substantial potential for cost-aware optimization.</t>
  </si>
  <si>
    <t>Guy Hadad, Shadi Iskander, Sofia Tolmach, Oren Kalinsky, Haggai Roitman, Ran Levy</t>
  </si>
  <si>
    <t>Shadi Iskander</t>
  </si>
  <si>
    <t>59-IND</t>
  </si>
  <si>
    <t>TASER: Table Agents for Schema-guided Extraction and Recommendation</t>
  </si>
  <si>
    <t>Real-world financial filings report critical information about an entity's investment holdings, essential for assessing that entity's risk, profitability, and relationship profile. Yet, these details are often buried in messy, multi-page, fragmented tables that are difficult to parse, hindering downstream QA and data normalization. Specifically, 99.4% of the tables in our financial table dataset lack bounding boxes, with the largest table spanning 44 pages. To address this, we present TASER (Table Agents for Schema-guided Extraction and Recommendation), a continuously learning, agentic table extraction system that converts highly unstructured, multi-page, heterogeneous tables into normalized, schema-conforming outputs. Guided by an initial portfolio schema, TASER executes table detection, classification, extraction, and recommendations in a single pipeline. Our Recommender Agent reviews unmatched outputs and proposes schema revisions, enabling TASER to outperform vision-based table detection models such as Table Transformer by 10.1%. Within this continuous learning process, larger batch sizes yield a 104.3% increase in useful schema recommendations and a 9.8% increase in total extractions. To train TASER, we manually labeled 22,584 pages and 3,213 tables covering $731.7 billion in holdings, culminating in TASERTab to facilitate research on real-world financial tables and structured outputs. Our results highlight the promise of continuously learning agents for robust extractions from complex tabular data.</t>
  </si>
  <si>
    <t>Nicole Cho, Kirsty Fielding, William Watson, Sumitra Ganesh, Manuela Veloso</t>
  </si>
  <si>
    <t>64-IND</t>
  </si>
  <si>
    <t>TAGQuant: Token-Aware Clustering for Group-Wise Quantization</t>
  </si>
  <si>
    <t>Grouping, e.g., grouping channels, which is widely used in current integer-based quantization, has become essential for the emerging MXFP4 format. Ideally, each group should contain channels with similar quantization scales. To guide such groups, existing work clusters the channels using scalar proxy, ignoring the token dimension, which we find suboptimal. In this paper, we propose TAGQuant, a simple yet powerful enhancement for such ``group-wise'' quantization. By strategically shuffling channels to group those with similar token-wise activation distributions, TAGQuant ensures better clustering of large- and small-range values. This shuffle operation is hardware-efficient, and seamlessly integrated into the quantization process with only 0.01x latency overhead. TAGQuant reduces relative GSM8K error in both INT4 and MXFP4 formats, by up to 86\% in Llama-3.1-8B-Instruct compared to baselines, validating the effectiveness of our channel shuffling approach for group-wise quantization. Code is publicly available.</t>
  </si>
  <si>
    <t>Jaeseong Lee, seung-won hwang, Aurick Qiao, Zhewei Yao, Yuxiong He</t>
  </si>
  <si>
    <t>Jaeseong Lee</t>
  </si>
  <si>
    <t>65-IND</t>
  </si>
  <si>
    <t>Beyond Grid Search: Leveraging Bayesian Optimization for Accelerating RAG Pipeline Optimization</t>
  </si>
  <si>
    <t>Finding optimal configurations for Retrieval-Augmented Generation (RAG) pipelines via grid search is computationally prohibitive, limiting real-world scalability. We investigate Bayesian Optimization (BO) as an efficient alternative, systematically comparing seven BO strategies combining four surrogate models and two multi-fidelity methods across FiQA, SciFact, and HotpotQA datasets. Our framework explores both global pipeline and local component-wise optimization, targeting final RAG performance and resource efficiency. Our results show that BO reduces optimization time by up to 84\% compared to grid search while maintaining comparable accuracy, with local optimization offering the most practical balance for deployment. Notably, performance gains plateau with larger evaluation budgets, suggesting that moderate resource investments suffice for effective RAG tuning. We provide actionable guidelines that empower industry practitioners to efficiently configure and deploy high-performing RAG systems under real-world constraints.</t>
  </si>
  <si>
    <t>Anum Afzal, Xueru Zheng, Florian Matthes</t>
  </si>
  <si>
    <t>Anum Afzal</t>
  </si>
  <si>
    <t>73-IND</t>
  </si>
  <si>
    <t>MobileCity: An Efficient Framework for Large-Scale Urban Behavior Simulation</t>
  </si>
  <si>
    <t>Generative agents offer promising capabilities for simulating realistic urban behaviors. However, existing methods often rely on static profiles, oversimplified behavioral logic, and synchronous inference pipelines that hinder scalability. We present MobileCity, a lightweight generative-agent framework for city-scale simulation powered by cognitively-grounded generative agents. Each agent acts based on its needs, habits, and obligations, evolving over time. Agents are initialized from survey-based demographic data and navigate a realistic multimodal transportation network spanning multiple types of vehicles. To achieve scalability, we introduce asynchronous batched LLM inference during action selection and a low-token communication mechanism. Experiments with 4,000 agents demonstrate that MobileCity generates more human-like urban dynamics than baselines while maintaining high computational efficiency. Our code is publicly available at https://github.com/Tony-Yip/MobileCity.</t>
  </si>
  <si>
    <t>Xiaotong Ye, Nicolas Bougie, Toshihiko Yamasaki, Narimawa Watanabe</t>
  </si>
  <si>
    <t>Xiaotong Ye</t>
  </si>
  <si>
    <t>74-IND</t>
  </si>
  <si>
    <t>Is Micro Domain-Adaptive Pre-Training Effective for Real-World Operations? Multi-Step Evaluation Reveals Potential and Bottlenecks</t>
  </si>
  <si>
    <t>When applying LLMs to real-world enterprise operations, LLMs need to handle proprietary knowledge in small domains of specific operations (micro domains). A previous study shows micro domain-adaptive pre-training (mDAPT) with fewer documents is effective, similarly to DAPT in larger domains. However, it evaluates mDAPT only on multiple-choice questions; thus, its effectiveness for generative tasks in real-world operations remains unknown. We aim to reveal the potential and bottlenecks of mDAPT for generative tasks. To this end, we disentangle the answering process into three subtasks and evaluate the performance of each subtask: (1) eliciting facts relevant to questions from an LLM's own knowledge, (2) reasoning over the facts to obtain conclusions, and (3) composing long-form answers based on the conclusions. We verified mDAPT on proprietary IT product knowledge for real-world questions in IT technical support operations. As a result, mDAPT resolved the elicitation task that the base model struggled with but did not resolve other subtasks. This clarifies mDAPT's effectiveness in the knowledge aspect and its bottlenecks in other aspects. Further analysis empirically shows that resolving the elicitation and reasoning tasks ensures sufficient performance (over 90\%), emphasizing the need to enhance reasoning capability.</t>
  </si>
  <si>
    <t>Masaya Tsunokake, Yuta Koreeda, Terufumi Morishita, Koichi Nagatsuka, Hikaru Tomonari, Yasuhiro Sogawa</t>
  </si>
  <si>
    <t>Masaya Tsunokake</t>
  </si>
  <si>
    <t>80-IND</t>
  </si>
  <si>
    <t>A Compliance-Preserving Retrieval System for Aircraft MRO Task Search</t>
  </si>
  <si>
    <t>Aircraft Maintenance Technicians (AMTs) spend up to 30\% of work time searching manuals—a documented efficiency bottleneck in MRO operations where every procedure must be traceable to certified sources. We present a compliance-preserving retrieval system that adapts LLM reranking and semantic search to aviation MRO environments by operating alongside, rather than replacing, certified legacy viewers. The system constructs revision-robust embeddings from ATA chapter hierarchies and uses vision-language parsing to structure certified content, allowing technicians to preview ranked tasks and access verified procedures in existing viewers. Evaluation on 49k synthetic queries achieves &gt;90\% retrieval accuracy, while bilingual controlled studies with 10 licensed AMTs demonstrate 90.9\% top-10 success rate and 95\% reduction in lookup time—from 6-15 minutes to 18 seconds per task. These gains provide concrete evidence that semantic retrieval can operate within strict regulatory constraints and meaningfully reduce operational workload in real-world multilingual MRO workflows.</t>
  </si>
  <si>
    <t>Byungho Jo</t>
  </si>
  <si>
    <t>87-IND</t>
  </si>
  <si>
    <t>When Speed Meets Intelligence: Scalable Conversational NER in an Ever-evolving World</t>
  </si>
  <si>
    <t>Modern conversational AI systems require sophisticated Named Entity Recognition (NER) capabilities that can handle complex, contextual dialogue patterns. While Large Language Models (LLMs) excel at understanding conversational semantics, their inference latency and inability to efficiently incorporate emerging entities make them impractical for production deployment. Moreover, the scarcity of conversational NER data creates a critical bottleneck for developing effective models. We address these challenges through two main contributions. First, we introduce an automated pipeline for generating multilingual conversational NER datasets with minimal human validation, producing 4,082 English and 3,925 Spanish utterances. Second, we present a scalable framework that leverages LLMs as semantic filters combined with catalog-based entity grounding to label live traffic data, enabling knowledge distillation into faster, production-ready models. On internal conversational datasets, our teacher model demonstrates 39.55% relative F1-score improvement in English and 44.93% in Spanish compared to production systems. On public benchmarks, we achieve 97.12% F1-score on CoNLL-2003 and 83.09% on OntoNotes 5.0, outperforming prior state-of-the-art by 24.82 and 8.19 percentage points, respectively. Finally, student models distilled from our teacher approach achieve 13.84% relative improvement on English conversational data, bridging the gap between LLM capabilities and real-world deployment constraints.</t>
  </si>
  <si>
    <t>Karim Ghonim, Antonio Roberto, Davide Bernardi</t>
  </si>
  <si>
    <t>Karim Ghonim</t>
  </si>
  <si>
    <t>91-IND</t>
  </si>
  <si>
    <t>ReflectiveRAG: Rethinking Adaptivity in Retrieval-Augmented Generation</t>
  </si>
  <si>
    <t>Retrieval-Augmented Generation (RAG) systems degrade sharply under extreme noise,where irrelevant or redundant passages dominate. Current methods-fixed top-k retrieval, cross-encoder reranking, or policy based iteration-depend on static heuristics or costly reinforcement learning, failing to assess evidence sufficiency, detect subtle mismatches, or reduce redundancy, leading to hallucinations and poor grounding. We introduce ReflectiveRAG, a lightweight yet reasoning-driven architecture that enhances factual grounding through two complementary mechanisms: Self-Reflective Retrieval (SRR) and Contrastive Noise Removal (NR). SRR employs small language model as a decision controller that iteratively evaluates evidence sufficiency, enabling adaptive query reformulation without fixed schedules or policy training. NR further refines retrieved content via embedding-based contrastive filtering, enforcing semantic sparsity and removing redundant or tangential passages. Evaluated on WebQuestions, HotpotQA (distractor setting) and InternalQA with 50M Common Crawl distractors, ReflectiveRAG achieves substantial gains over strong baselines-including DeepRAG-improving EM by +2.7 pp and F1 by +2.5 pp, while reducing evidence redundancy by 30.88% with only 18 ms additional latency. Ablation studies confirm that SRR and NR jointly drive both factual accuracy and efficiency, validating our central claim that retrieval reasoning and contrastive filtering can outperform large-scale policy optimization in RAG.</t>
  </si>
  <si>
    <t>Akshay Verma, Swapnil Gupta, Siddharth Pillai, Prateek Sircar, Deepak Gupta</t>
  </si>
  <si>
    <t>92-IND</t>
  </si>
  <si>
    <t>OCR or Not? Rethinking Document Information Extraction in the MLLMs Era with Real-World Large-Scale Datasets</t>
  </si>
  <si>
    <t>Multimodal Large Language Models (MLLMs) enhance the potential of natural language processing. However, their actual impact on document information extraction remains unclear. In particular, it is unclear whether an MLLM-only pipeline—while simpler—can truly match the performance of traditional OCR+MLLM setups. In this paper, we conduct a large-scale benchmarking study that evaluates various out-of-the-box MLLMs on business-document information extraction. To examine and explore failure modes, we propose an automated hierarchical error analysis framework that leverages large language models (LLMs) to diagnose error patterns systematically. Our findings suggest that OCR may not be necessary for powerful MLLMs, as image-only input can achieve comparable performance to OCR-enhanced approaches. Moreover, we demonstrate that carefully designed schema, exemplars, and instructions can further enhance MLLMs performance. We hope this work can offer practical guidance and valuable insight for advancing document information extraction.</t>
  </si>
  <si>
    <t>Jiyuan SHEN, Yuan Peiyue, Atin Ghosh, Yifan Mai, Daniel Dahlmeier</t>
  </si>
  <si>
    <t>Jiyuan Shen</t>
  </si>
  <si>
    <t>96-IND</t>
  </si>
  <si>
    <t>RegNLI: Detecting Online Product Misbranding through Legal and Linguistic Alignment</t>
  </si>
  <si>
    <t>Misbranding of health-related products poses significant risks to public safety and regulatory compliance. Existing approaches to claim verification largely rely on keyword matching or generic text classification, failing to capture the nuanced reasoning required to align product claims with legal statutes. In this work, we introduce RegNLI, a novel framework that formulates misbranding detection as a inference task between product claims and regulatory provisions. Leveraging a curated dataset of FDA warning letters, we construct structured representations of claims and statutes. Our model integrates a regulation-aware gating mechanism with a contrastive alignment objective to jointly optimize misbranding classification and statute mapping. Experiments on the \textsc{FDA-Misbrand} dataset demonstrate that RegNLI significantly outperforms strong baselines across accuracy, F1-score, and regulation alignment metrics, while providing interpretable attention patterns that highlight critical linguistic cues. This work establishes a foundation for compliance-aware NLP systems and opens new directions for integrating formal reasoning with neural architectures in regulatory domains.</t>
  </si>
  <si>
    <t>Diya Saha, Abhishek Bharadwaj Varanasi, Tirthankar Dasgupta, Manjira Sinha</t>
  </si>
  <si>
    <t>Manjira Sinha</t>
  </si>
  <si>
    <t>97-IND</t>
  </si>
  <si>
    <t>CASPER: Bridging Discrete and Continuous Prompt Optimization through Feedback-Guided Gradient Descent</t>
  </si>
  <si>
    <t>Workflow automation is critical for reducing manual efforts in industries, yet existing pipelines fail to handle generative tasks like summarization and extraction without pre-built tools, forcing human intervention. While LLM-based agents offer solutions, their creation depends heavily on prompt engineering—a resource-intensive process often yielding suboptimal results. Current automated approaches face a fundamental trade-off: discrete optimization produces overfitted prompts without convergence guarantees due to non-convex landscapes, while continuous gradient-based methods generate semantically incoherent prompts through embedding optimization. We propose CASPER, a framework bridging discrete and continuous prompt optimization through feedback-guided gradient descent in embedding space. CASPER employs a feedback module producing detailed error analyses that capture failure modes as optimization signals. These insights are projected with prompt tokens into embedding space to steer gradient descent. To preserve interpretability, we incorporate fluency regularization that penalizes incomprehensible tokens. We further accelerate convergence through synthetic data generation that oversamples failure cases, while also addressing data scarcity in industrial settings. We evaluate CASPER on WDC, DROP, GSM8K with F1 improvements of 2.3\%, 1.6\%, 2.3\% and VQA, internal benchmarks showing accuracy improvements of 1.1\%, 3\%, demonstrating cross-domain generalizability.</t>
  </si>
  <si>
    <t>Aryan Jain, Pushpendu Ghosh, Promod Yenigalla</t>
  </si>
  <si>
    <t>Aryan Jain</t>
  </si>
  <si>
    <t>100-IND</t>
  </si>
  <si>
    <t>Adaptive Data Flywheel: Applying MAPE Control Loops to AI Agent Improvement</t>
  </si>
  <si>
    <t>Enterprise AI agents must continuously adapt to maintain accuracy, reduce latency, and remain aligned with user needs. We present a practical implementation of a data flywheel in NVInfo AI, NVIDIA's Mixture-of-Experts (MoE) Knowledge Assistant serving over 30,000 employees. By operationalizing a MAPE-driven data flywheel, we built a closed-loop system that systematically addresses failures in retrieval-augmented generation (RAG) pipelines and enables continuous learning. Over a 3-month post-deployment period, we monitored feedback and collected 495 negative samples. Analysis revealed two major failure modes: routing errors (5.25\%) and query rephrasal errors (3.2\%). Using NVIDIA NeMo Microservices, we implemented targeted improvements through fine-tuning. For routing, we replaced a Llama 3.1 70B model with a fine-tuned 8B variant, achieving 96\% accuracy, a 10× reduction in model size, and 70\% latency improvement. For query rephrasal, fine-tuning yielded a 3.7\% gain in accuracy and a 40\% latency reduction. Our approach demonstrates how human-in-the-loop (HITL) feedback, when structured within a data flywheel, transforms enterprise AI agents into self-improving systems. Key learnings include approaches to ensure agent robustness despite limited user feedback, navigating privacy constraints, and executing staged rollouts in production. This work offers a repeatable blueprint for building robust, adaptive enterprise AI agents capable of learning from real-world usage at scale.</t>
  </si>
  <si>
    <t>Aaditya Shukla, Sidney Knowles, Meenakshi Madugula, David Farris, Ryan Angilly, Santiago Pombo, Lu An, Anbang Xu, Abhinav Balasubramanian, Tan Yu, Jiaxiang Ren, Rama Akkiraju</t>
  </si>
  <si>
    <t>Aaditya Shukla</t>
  </si>
  <si>
    <t>102-IND</t>
  </si>
  <si>
    <t>Feedback-Aware Prompt Optimization Framework for Generating Job Postings</t>
  </si>
  <si>
    <t>Job postings are critical for recruitment, yet large enterprises struggle with standardization and consistency, requiring significant time from hiring managers and recruiters. We present a feedback-aware prompt optimization framework that automates high-quality job posting generation through iterative human-in-the-loop refinement. Our system integrates multiple data sources: job metadata, competencies, organization's compliance guidelines, and organization brand statement, while incorporating human feedback to continuously improve prompt quality through multi-LLM validation. We evaluated our approach using LLM-as-a-judge on 1,056 job postings and human evaluation on a smaller subset across three dimensions: Standardization, Compliance, and User Perception. Our results demonstrate high compliance rates and strong satisfaction scores in both automated and human evaluation, validating the effectiveness of our feedback-aware approach for enterprise job posting generation.</t>
  </si>
  <si>
    <t>Suraj Maharjan, Ainur Yessenalina, Srinivasan H. Sengamedu</t>
  </si>
  <si>
    <t>Suraj Maharjan</t>
  </si>
  <si>
    <t>103-IND</t>
  </si>
  <si>
    <t>Enhancing User Safety: Context-Aware Detection of Offensive Query-Ad Pairs in Multimodal Search Advertising</t>
  </si>
  <si>
    <t>The proliferation of multi-modal online advertisements necessitates robust content moderation to ensure user safety, as offensive ad content can cause user distress and erode platform trust. This paper addresses the detection of content that becomes offensive only when a user’s search query is paired with a specific ad, a context-dependent challenge that simple moderation often misses. Key challenges include the nuanced, multi-modal nature of ads, severe data scarcity and class imbalance due to the rarity of offensive content, and the high cost of human labeling. To overcome these limitations, we introduce a novel, context-aware detection framework centered on a large-scale, Multi-modal Teacher-Student Knowledge Distillation architecture. A powerful Gemini encoder-only “teacher” model distills its knowledge into a lightweight student model suitable for low-latency deployment. We enhance robustness using a novel graph mining technique to find rare offensive examples for training. For evaluation, we developed a highly accurate Automated Evaluation Model (AEM)—a separate, larger Gemini model utilizing Chain-of-Thought (CoT) reasoning—to rigorously assess performance in a live A/B test. Our results demonstrate that the proposed framework reduces the serving of offensive query-ad pairs by more than 80\% compared to the baseline, while maintaining the efficiency required for real-time advertising systems that operate at a scale of over $\approx100$ billion query-ad pairs per day.</t>
  </si>
  <si>
    <t>Gaurav Kumar, Qiangjian Xi, Tanmaya Shekhar Dabral, Hooshang Ghasemi, Abishek Krishnamoorthy, Danqing Fu, Rui Min, Emilio Antunez, Zhongli Ding, Pradyumna Narayana</t>
  </si>
  <si>
    <t>Gaurav Kumar</t>
  </si>
  <si>
    <t>105-IND</t>
  </si>
  <si>
    <t>Adapting Vision-Language Models for E-commerce Understanding at Scale</t>
  </si>
  <si>
    <t>E-commerce product understanding demands by nature, strong multimodal comprehension from text, images, and structured attributes. General-purpose Vision–Language Models (VLMs) enable generalizable multimodal latent modelling, yet there is no documented, well-known strategy for adapting them to the attribute-centric, multi-image, and noisy nature of e-commerce data, without sacrificing general performance. In this work, we show through a large-scale experimental study, how targeted adaptation of general VLMs can substantially improve e-commerce performance while preserving broad multimodal capabilities. Furthermore, we propose a novel extensive evaluation suite covering deep product understanding, strict instruction following, and dynamic attribute extraction.</t>
  </si>
  <si>
    <t>Matteo Nulli, Orshulevich Vladimir, Tala Bazazo, Christian Herold, Michael Kozielski, Marcin Mazur, Szymon Tuzel, Cees G. M. Snoek, Seyyed Hadi Hashemi, Omar Javed, Yannick Versley, Shahram Khadivi</t>
  </si>
  <si>
    <t>Matteo Nulli</t>
  </si>
  <si>
    <t>106-IND</t>
  </si>
  <si>
    <t>MedRiskEval: Medical Risk Evaluation Benchmark of Language Models, On the Importance of User Perspectives in Healthcare Settings</t>
  </si>
  <si>
    <t>As the performance of large language models (LLMs) continues to advance, their adoption in the medical domain is increasing. However, most existing risk evaluations largely focused on general safety benchmarks. In the medical applications, LLMs may be used by a wide range of users, ranging from general users and patients to clinicians, with diverse levels of expertise and the model's outputs can have a direct impact on human health which raises serious safety concerns. In this paper, we introduce MedRiskEval, a medical risk evaluation benchmark tailored to the medical domain. To fill the gap in previous benchmarks that only focused on the clinician perspective, we introduce a new patient-oriented dataset called PatientSafetyBench containing 466 samples across 5 critical risk categories. Leveraging our new benchmark alongside existing datasets, we evaluate a variety of open- and closed-source LLMs. To the best of our knowledge, this work establishes an initial foundation for safer deployment of LLMs in healthcare.</t>
  </si>
  <si>
    <t>Jean-Philippe Corbeil, Minseon Kim, Maxime Griot, Sheela Agarwal, Alessandro Sordoni, Francois Beaulieu, Paul Vozila</t>
  </si>
  <si>
    <t>Jean-Philippe Corbeil</t>
  </si>
  <si>
    <t>112-IND</t>
  </si>
  <si>
    <t>Lessons from the Field: An Adaptable Lifecycle Approach to Applied Dialogue Summarization</t>
  </si>
  <si>
    <t>Summarization of multi-party dialogues is a critical capability in industry, enhancing knowledge transfer and operational effectiveness across many domains. However, automatically generating high-quality summaries is challenging, as the ideal summary must satisfy a set of complex, multi-faceted requirements. While summarization has received immense attention in research, prior work has primarily utilized static datasets and benchmarks, a condition rare in practical scenarios where requirements inevitably evolve. In this work, we present an industry case study on developing an agentic system to summarize multi-party interactions. We share practical insights spanning the full development lifecycle to guide practitioners in building reliable, adaptable summarization systems, as well as to inform future research, covering: 1) robust methods for evaluation despite evolving requirements and task subjectivity, 2) component-wise optimization enabled by the task decomposition inherent in an agentic architecture, 3) the impact of upstream data bottlenecks, and 4) the realities of vendor lock-in due to the poor transferability of LLM prompts.</t>
  </si>
  <si>
    <t>Kushal Chawla, Chenyang Zhu, Pengshan Cai, Sangwoo Cho, Scott Novotney, Ayushman Singh, Jonah Lewis, Keasha Safewright, Alfy Samuel, Erin Babinsky, Shi-Xiong Zhang, Sambit Sahu</t>
  </si>
  <si>
    <t>Kushal Chawla</t>
  </si>
  <si>
    <t>113-IND</t>
  </si>
  <si>
    <t>LingVarBench: Benchmarking LLMs on Entity Recognitions and Linguistic Verbalization Patterns in Phone-Call Transcripts</t>
  </si>
  <si>
    <t>We study structured entity extraction from phone-call transcripts in customer-support and healthcare settings, where annotation is costly, and data access is limited by privacy and consent. Existing methods degrade under disfluencies, interruptions, and speaker overlap, yet large real-call corpora are rarely shareable. We introduce LingVarBench, a benchmark and semantic synthetic data generation pipeline that generates linguistically varied training data via (1) LLM-sampled entity values, (2) curated linguistic verbalization patterns covering diverse disfluencies and entity-specific readout styles, and (3) a value–transcript consistency filter. Using this dataset, DSPy's SIMBA automatically synthesizes and optimizes extraction prompts, reducing manual prompt engineering and targeting robustness to verbal variation. On real customer transcripts, prompts optimized solely on LingVarBench outperform zero-shot baselines and match or closely approach human-tuned prompts for structured entities such as ZIP code, date of birth, and name (F1 approximately 94-95 percent). For subjective questionnaire items, optimized prompts substantially improve over zero-shot performance and approach human-tuned prompts. LingVarBench offers a practical and cost-efficient path to deployment in a direct-answer setting, with real annotations later enabling additional refinement.</t>
  </si>
  <si>
    <t>Seyedali Mohammadi, Manas Paldhe, Amit Chhabra, Youngseo Son, Vishal Seshagiri</t>
  </si>
  <si>
    <t>Amit Chhabra</t>
  </si>
  <si>
    <t>115-IND</t>
  </si>
  <si>
    <t>The Subtle Art of Defection: Understanding Uncooperative Behaviors in LLM based Multi-Agent Systems</t>
  </si>
  <si>
    <t>This paper introduces a novel framework for simulating and analyzing how uncooperative behaviors can destabilize or collapse LLM-based multi-agent systems. Our framework includes two key components: (1) a game theory-based taxonomy of uncooperative agent behaviors, addressing a notable gap in the existing literature; and (2) a structured, multi-stage simulation pipeline that dynamically generates and refines uncooperative behaviors as agents' states evolve. We evaluate the framework via a collaborative resource management setting, measuring system stability using metrics such as survival time and resource overuse rate. Empirically, our framework achieves ~96.7% accuracy in generating realistic uncooperative behaviors, validated by human evaluations. Our results reveal a striking contrast: cooperative agents maintain perfect system stability (100% survival over 12 rounds with 0% resource overuse), while any uncooperative behavior can trigger rapid system collapse within 1–7 rounds. We also evaluate LLM-based defense methods, finding they detect some uncooperative behaviors, but some behaviors remain largely undetectable. These gaps highlight how uncooperative agents degrade collective outcomes and underscore the need for more resilient multi-agent systems.</t>
  </si>
  <si>
    <t>Devang Kulshreshtha, Wanyu Du, Raghav Jain, Srikanth Doss, Hang Su, Sandesh Swamy, Yanjun Qi</t>
  </si>
  <si>
    <t>Devang Kulshreshtha</t>
  </si>
  <si>
    <t>120-IND</t>
  </si>
  <si>
    <t>Synthetic Data Fine-Tuning for Effective Team Formation in Enterprises</t>
  </si>
  <si>
    <t>We evaluate the effectiveness of synthetic data fine-tuning for Semantic Search in a real-world Enterprise Team Formation problem scenario. In this problem, we aim to retrieve the best employee for a given task, given their information regarding abilities, experiences, and other aspects. We evaluate two synthetic data generation strategies: (1) augmenting real-world data with synthetic labels and (2) generating synthetic profiles for employees tailored to specific tasks. To measure the impact of these strategies, we fine-tune a pretrained text embedding model using LoRA and Rank Aggregation techniques. We evaluate the model performance against current SOTA algorithms on a human-curated dataset. Our experiments indicate that training a model that uses a combination of both Synthetic data generation strategies outperforms already established pre-trained models on the Team Formation task, improving the ranking metrics by an average of 30\% in comparison to the best-performing pre-trained model.</t>
  </si>
  <si>
    <t>Guilherme Drummond Lima, Adriano Veloso</t>
  </si>
  <si>
    <t>Guilherme Drummond Lima</t>
  </si>
  <si>
    <t>122-IND</t>
  </si>
  <si>
    <t>PROBES : Performance and Relevance Observation for BEtter Search</t>
  </si>
  <si>
    <t>High-quality search is essential for the success of online platforms, spanning e-commerce, social media, shopping-focused applications, and broader search systems such as content discovery and enterprise web search. To ensure optimal user experience and drive business growth, continuous evaluation and improvement of search systems is crucial. This paper introduces PROBES, a novel multi-task system powered by Large Language Models (LLMs) designed for end-to-end evaluation of semantic search systems. PROBES identifies context-aware relevance using a fine-grained scale (exact, substitute, complement, irrelevant) by leveraging the query category, feature-level intent, and category-aware feature importance, enabling more precise and consistent judgments than relying solely on raw query text. This allows PROBES to provide differentiated relevance assessment across a diverse range of query categories. PROBES then dives deeper to understand the reason behind irrelevant results (Precision issues) by checking product content conflicts and inaccuracies. It also analyzes Missed Recall by leveraging retrieval and relevance models to determine whether a missed recall was due to a selection issue or a ranking/retrieval system issue. To evaluate PROBES, we introduce a new metric, the Actionable Error Rate (AER), defined as the proportion of actionable errors over all flagged errors. We observe that PROBES operates at an AER of 76%, generating actionable insights across 100 product categories.</t>
  </si>
  <si>
    <t>Sejal Jain, Cyrus Andre DSouza, Jitenkumar Babubhai Rana, Aniket Joshi, Promod Yenigalla</t>
  </si>
  <si>
    <t>Sejal Jain</t>
  </si>
  <si>
    <t>128-IND</t>
  </si>
  <si>
    <t>IndicJR: A Judge-Free Benchmark of Jailbreak Robustness in South Asian Languages</t>
  </si>
  <si>
    <t>Safety alignment of large language models (LLMs) is mostly evaluated in English and contract-bound, leaving multilingual vulnerabilities understudied. We introduce Indic Jailbreak Robustness (IJR) a judge-free benchmark for adversarial safety across 12 Indic and South Asian languages (~2.09B speakers), covering 45,216 prompts in JSON (contract-bound) and Free (naturalistic) tracks. IJR reveals three patterns. (1) Contracts inflate refusals but do not stop jailbreaks: in JSON, LLaMA and Sarvam exceed $0.92$ JSR, and in Free all models reach ~1.0 with refusals collapsing. (2) English→Indic attacks transfer strongly, with format wrappers often outperforming instruction wrappers. (3) Orthography matters: romanized/mixed inputs reduce JSR under JSON, with correlations to romanization share and tokenization ρ ≈ 0.28–0.32 indicating systematic effects. Human audits confirm detector reliability, and lite-to-full comparisons preserve conclusions. IJR offers a reproducible multilingual stress test revealing risks hidden by English-only, contract-focused evaluations, especially for South Asian users who frequently code-switch and romanize.</t>
  </si>
  <si>
    <t>Priyaranjan Pattnayak, Sanchari Chowdhuri</t>
  </si>
  <si>
    <t>Sanchari Chowdhuri</t>
  </si>
  <si>
    <t>134-IND</t>
  </si>
  <si>
    <t>Synthesizing question answering data from financial documents: An End-to-End Multi-Agent Approach</t>
  </si>
  <si>
    <t>Answering complex questions that require numerical reasoning over financial documents is challenging due to the diverse and scattered nature of relevant information. While large language models (LLMs) excel at financial reasoning, their enterprise deployment is often limited by cost and latency. Small language models (SLMs) present a cost-effective alternative but need to be fine-tuned with high-quality, domain-specific question-answer (QA) data. Acquiring such data requires manual expert annotation, presenting a bottleneck to the wider application of SLMs. This work introduces a modular, scalable end-to-end agentic pipeline that extracts and selects relevant content from unstructured financial documents and then generates QA pairs from the selected content for SLM fine-tuning. Compared to the same models trained on previous manually generated data for the task, one of the models trained on our pipeline-produced synthetic data achieved competitive in-distribution performance, and all tested models demonstrated superior generalization. The framework thus demonstrates considerable potential to accelerate the deployment of smaller, cost-effective models by reducing manual data creation efforts.</t>
  </si>
  <si>
    <t>Chetan Harsha, Karmvir Singh Phogat, Sridhar Dasaratha, Shashishekar Ramakrishna</t>
  </si>
  <si>
    <t>Dr. Sridhar Dasaratha</t>
  </si>
  <si>
    <t>136-IND</t>
  </si>
  <si>
    <t>Toward Automatic Delegation Extraction in Japanese Law</t>
  </si>
  <si>
    <t>The legal systems have a hierarchical structure, and a higher-level law often authorizes a lower-level law to implement detailed provisions, which is called delegation. When interpreting legal texts with delegation, readers must repeatedly consult the lower-level laws that stipulate the detailed provisions, imposing a substantial workload. Therefore, it is necessary to develop a system that enables readers to instantly refer to relevant laws in delegation. However, manually annotating delegation is difficult because it requires extensive legal expertise, careful reading of numerous legal texts, and continuous adaptation to newly enacted laws. In this study, we focus on Japanese law and develop a two-stage pipeline system for automatic delegation annotation. First, we extract keywords that indicate delegation using a named entity recognition approach. Second, we identify the delegated provision corresponding to each keyword as an entity disambiguation task. In our experiments, the proposed system demonstrates sufficient performance to assist manual annotation in practice.</t>
  </si>
  <si>
    <t>Tsuyoshi Fujita, Yuya Sawada, Yusuke Sakai, Taro Watanabe</t>
  </si>
  <si>
    <t>Tsuyoshi Fujita</t>
  </si>
  <si>
    <t>139-IND</t>
  </si>
  <si>
    <t>DIALECTIC: A Multi-Agent System for Startup Evaluation</t>
  </si>
  <si>
    <t>Venture capital (VC) investors face a large number of investment opportunities but only invest in few of these, with even fewer ending up successful. Early-stage screening of opportunities is often limited by investor bandwidth, demanding tradeoffs between evaluation diligence and number of opportunities assessed. To ease this tradeoff, we introduce DIALECTIC, an LLM-based multi-agent system for startup evaluation. DIALECTIC first gathers factual knowledge about a startup and organizes these facts into a hierarchical question tree. It then synthesizes the facts into natural-language arguments for and against an investment and iteratively critiques and refines these arguments through a simulated debate, which surfaces only the most convincing arguments. Our system also produces numeric decision scores that allow investors to rank and thus efficiently prioritize opportunities. We evaluate DIALECTIC through backtesting on real investment opportunities aggregated from five VC funds, showing that DIALECTIC matches the precision of human VCs in predicting startup success.</t>
  </si>
  <si>
    <t>Jae Yoon Bae, Simon Malberg, Joyce Ann Clarize Galang, Andre Retterath, Georg Groh</t>
  </si>
  <si>
    <t>Jae Yoon Bae</t>
  </si>
  <si>
    <t>141-IND</t>
  </si>
  <si>
    <t>Long-Context Long-Form Question Answering for Legal Domain</t>
  </si>
  <si>
    <t>Legal documents have complex document layouts involving multiple nested sections, lengthy footnotes and further use specialized linguistic devices like intricate syntax and domain-specific vocabulary to ensure precision and authority. These inherent characteristics of legal documents make question answering challenging, and particularly so when the answer to the question spans several pages (i.e. requires long-context) and is required to be comprehensive (i.e. a long-form answer). In this paper, we address the challenges of long-context question answering in context of long-form answers given the idiosyncrasies of legal documents. We propose a question answering system that can (a) deconstruct domain-specific vocabulary for better retrieval from source documents, (b) parse complex document layouts while isolating sections and footnotes and linking them appropriately, (c) generate comprehensive answers using precise domain-specific vocabulary. We also introduce a coverage metric that classifies the performance into recall-based coverage categories allowing human users to evaluate the recall with ease. By leveraging the expertise of professionals from fields such as law and corporate tax, we curate a QA dataset. Through comprehensive experiments and ablation studies, we demonstrate the usability and merit of the proposed system.</t>
  </si>
  <si>
    <t>Anagha Kulkarni, Parin Rajesh Jhaveri, Prasha Shrestha, Yu Tong Han, Reza Amini, Behrouz Madahian</t>
  </si>
  <si>
    <t>Parin Rajesh Jhaveri</t>
  </si>
  <si>
    <t>144-IND</t>
  </si>
  <si>
    <t>ELO: Efficient Layer-Specific Optimization for Continual Pretraining of Multilingual LLMs</t>
  </si>
  <si>
    <t>We propose an efficient layer-specific optimization (ELO) method designed to enhance continual pretraining (CP) for specific languages in multilingual large language models (MLLMs). This approach addresses the common challenges of high computational cost and degradation of source language performance associated with traditional CP. The ELO method consists of two main stages: (1) ELO Pretraining, where a small subset of specific layers, identified in our experiments as the critically important first and last layers, are detached from the original MLLM and trained with the target language. This significantly reduces not only the number of trainable parameters but also the total parameters computed during the forward pass, minimizing GPU memory consumption and accelerating the training process. (2) Layer Alignment, where the newly trained layers are reintegrated into the original model, followed by a brief full fine-tuning step on a small dataset to align the parameters. Experimental results demonstrate that the ELO method achieves a training speedup of up to 6.46 times compared to existing methods, while improving target language performance by up to 6.2\% on qualitative benchmarks and effectively preserving source language (English) capabilities.</t>
  </si>
  <si>
    <t>HanGyeol Yoo, ChangSu Choi, Minjun Kim, Seohyun Song, SeungWoo Song, Inho Won, Jongyoul Park, Cheoneum Park, KyungTae Lim</t>
  </si>
  <si>
    <t>Hangyeol Yoo</t>
  </si>
  <si>
    <t>145-IND</t>
  </si>
  <si>
    <t>MIRAGE: Metadata-guided Image Retrieval and Answer Generation for E-commerce Troubleshooting</t>
  </si>
  <si>
    <t>Existing multimodal systems typically associate text and available images based on embedding similarity or simple co-location, but such approaches often fail to ensure that the linked image accurately depicts the specific product or component mentioned in a troubleshooting instruction. We introduce MIRAGE, a metadata-first paradigm that treats structured metadata, (not raw pixels), as a first-class modality for multimodal grounding. In MIRAGE, both text and images are projected through a shared semantic schema capturing product attributes, context, and visual aspects, enabling reasoning over interpretable attributes for troubleshooting rather than unstructured embeddings. MIRAGE comprises of three complementary modules: M-Link for schema-guided image–text linking, M-Gen for metadata-conditioned multimodal generation, and M-Eval for consistency evaluation in the same structured space. Experiments on large-scale enterprise e-commerce troubleshooting data across 10 product types on 100K text chunks and 35K images show that metadata-centric grounding achieves over 40% higher linking coverage of high-quality visual content and over 45% in linking and response quality than embedding-based baselines. MIRAGE demonstrates the potential of structured metadata in enabling scalable, fine-grained grounding in multimodal troubleshooting systems.</t>
  </si>
  <si>
    <t>Rishav Sahay, Lavanya Sita Tekumalla, Anoop Saladi</t>
  </si>
  <si>
    <t>Lavanya Sita Tekumalla</t>
  </si>
  <si>
    <t>150-IND</t>
  </si>
  <si>
    <t>CODMAS: A Dialectic Multi-Agent Collaborative Framework for Structured RTL Optimization</t>
  </si>
  <si>
    <t>Optimizing Register Transfer Level (RTL) code is a critical step in Electronic Design Automation (EDA) for improving power, performance, and area (PPA). We present CODMAS (Collaborative Optimization via a Dialectic Multi-Agent System), a framework that combines structured dialectic reasoning with domain-aware code generation and deterministic evaluation to automate RTL optimization. At the core of CODMAS are two dialectic agents: the Articulator, inspired by rubber-duck debugging, which articulates stepwise transformation plans and exposes latent assumptions; and the Hypothesis Partner, which predicts outcomes and reconciles deviations between expected and actual behavior to guide targeted refinements. These agents direct a Domain-Specific Coding Agent (DCA) to generate architecture-aware Verilog edits and a Code Evaluation Agent (CEA) to verify syntax, functionality, and PPA metrics. We introduce RTLOPT, a benchmark of 120 Verilog triples (unoptimized, optimized, testbench) for pipelining and clock-gating transformations. Across proprietary and open LLMs, CODMAS achieves ~25% reduction in critical path delay for pipelining and ~22% power reduction for clock gating, while reducing functional and compilation failures compared to strong prompting and agentic baselines. These results demonstrate that structured multi-agent reasoning can significantly enhance automated RTL optimization and scale to more complex designs and broader optimization tasks.</t>
  </si>
  <si>
    <t>Che-Ming Chang, Prashanth Vijayaraghavan, Ashutosh Jadhav, Charles Mackin, Hsinyu Tsai, Vandana Mukherjee, Ehsan Degan</t>
  </si>
  <si>
    <t>Prashanth Vijayaraghavan</t>
  </si>
  <si>
    <t>155-IND</t>
  </si>
  <si>
    <t>D3: Dynamic Docid Decoding for Multi-Intent Generative Retrieval</t>
  </si>
  <si>
    <t>Generative Retrieval (GR) maps queries to documents by generating discrete identifiers (DocIDs). However, offline DocID assignment and constrained decoding often prevent GR from capturing query-specific intent, especially when documents express multiple or unseen intents (i.e., intent misalignment). We introduce Dynamic Docid Decoding (D3), an inference-time mechanism that adaptively refines DocIDs through delayed, query-informed identifier expansion. D3 uses (a) verification to detect intent misalignment and (b) dynamic decoding to extend DocIDs with query-aligned tokens, even those absent from the pre-indexed vocabulary, enabling plug-and-play DocID expansion beyond the static vocabulary while adding minimal overhead. Experiments on NQ320k and MS-MARCO show that D3 consistently improves retrieval accuracy, especially on unseen and multi-intent documents, across various GR models, including a +2.4\%p nDCG@10 gain on the state-of-the-art model.</t>
  </si>
  <si>
    <t>Jaeyoung Kim, Dohyeon Lee, Soona Hong, seung-won hwang</t>
  </si>
  <si>
    <t>Seung-won Hwang</t>
  </si>
  <si>
    <t>160-IND</t>
  </si>
  <si>
    <t>DisGraph-RP: Graph-Augmented Temporal Modeling with Aspect-Based Contrastive Encoding of Discharge Summary for Readmission Prediction</t>
  </si>
  <si>
    <t>Predicting hospital readmissions is a critical clinical task with substantial implications for patient outcomes and healthcare cost management. We propose DisGraph-RP, a graph-augmented temporal modeling framework that integrates structured discourse-aware text representation with cross-admission relational reasoning. Our approach introduces a Section-Aware Contrastive Encoder that leverages section segmentation and aspect-based supervision to produce fine-grained representations of discharge summaries. These representations are then composed over time using a Graph-Based temporal module that encodes inter-visit dependencies through learned edge relations, enabling the model to capture disease progression, treatment history, and recurrent risk signals. Experiments on multiple real-world datasets demonstrate that DisGraph-RP achieves significant improvements over strong baselines, including transformer-based clinical models and prompting-based LLM approaches. Our findings highlight the importance of combining discourse-informed text encoding with temporal graph reasoning for robust clinical outcome prediction.</t>
  </si>
  <si>
    <t>Sudeshna Jana, Tirthankar Dasgupta, Manjira Sinha, Pabitra Mitra</t>
  </si>
  <si>
    <t>Tirthankar Dasgupta</t>
  </si>
  <si>
    <t>162-IND</t>
  </si>
  <si>
    <t>A Hybrid Supervised-LLM Pipeline for Actionable Suggestion Mining in Unstructured Customer Reviews</t>
  </si>
  <si>
    <t>Extracting actionable suggestions from customer reviews is essential for operational decision-making, yet these directives are often embedded within mixed-intent, unstructured text. Existing approaches either classify suggestion-bearing sentences or generate high-level summaries, but rarely isolate the precise improvement instructions businesses need. We evaluate a hybrid pipeline combining a high-recall RoBERTa classifier trained with a precision–recall surrogate to reduce unrecoverable false negatives with a controlled, instruction-tuned LLM for suggestion extraction, categorization, clustering, and summarization. Across real-world hospitality and food datasets, the hybrid system outperforms prompt-only, rule-based, and classifier-only baselines in extraction accuracy and cluster coherence. Human evaluations further confirm that the resulting suggestions and summaries are clear, faithful, and interpretable. Overall, our results show that hybrid reasoning architectures achieve meaningful improvements fine-grained actionable suggestion mining while highlighting challenges in domain adaptation and efficient local deployment.</t>
  </si>
  <si>
    <t>Aakash Trivedi, Aniket Upadhyay, Pratik Narang, Dhruv Kumar, Praveen Kumar</t>
  </si>
  <si>
    <t>Aakash Trivedi</t>
  </si>
  <si>
    <t>167-IND</t>
  </si>
  <si>
    <t>ARQA: A Benchmark for Grounded Table–Text QA in Enterprise Annual Reports</t>
  </si>
  <si>
    <t>Annual reports communicate corporate performance to stakeholders through dense tables and explanatory text, with rich grounding signals making automated reasoning challenging. Existing QA benchmarks focus on retrieval or single-modality reasoning and rarely require justification for answers with both textual and tabular evidence. We introduce ARQA (Annual Report QA), a benchmark of ~2.5K QA pairs spanning ten fiscal years of automotive enterprise annual reports and three reasoning families — Lookup, Arithmetic, and Insight. Data are produced via a planner–generator pipeline, deterministically verified and recomputed, and fully reviewed by domain experts. We evaluate state-of-the-art instruction-tuned language models on ARQA, showing strong factual retrieval but persistent weaknesses in grounded arithmetic and causal reasoning. We release ARQA and its evaluation toolkit to facilitate research on auditable, evidence-first reasoning over enterprise documents. (https://github.com/RuilongWang/ARQA-Benchmark/)</t>
  </si>
  <si>
    <t>Ruilong Wang, Simone Balloccu</t>
  </si>
  <si>
    <t>Ruilong Wang</t>
  </si>
  <si>
    <t>170-IND</t>
  </si>
  <si>
    <t>SkiLLens: Recognising and Mapping Novel Skills from Millions of Job Ads Across Europe Using Language Models</t>
  </si>
  <si>
    <t>In a rapidly evolving labor market, detecting and addressing emerging skill needs is essential for shaping responsive education and workforce policies. Online job advertisements (OJAs) provide a real-time view of changing demands, but require first retrieving skill mentions from unstructured text and then solving the entity linking problem of connecting them to standardized skill taxonomies. To harness this potential, we present a multilingual human-in-the-loop (HITL) pipeline that operates in two steps: candidate skills are extracted from national OJA corpora using country-specific word embeddings, capturing terms that reflect each country’s labor market. These candidates are linked to ESCO using an encoder-based system and refined through a decoder large language models (LLMs) for accurate contextual alignment. Our approach is validated through both quantitative and qualitative evaluations, demonstrating that our method enables timely, multilingual monitoring of emerging skills, supporting agile policy-making and targeted training initiatives.</t>
  </si>
  <si>
    <t>Alessia De Santo, Lorenzo Malandri, Fabio Mercorio, Mario Mezzanzanica, Navid Nobani</t>
  </si>
  <si>
    <t>173-IND</t>
  </si>
  <si>
    <t>SYMDIREC: A Neuro-Symbolic Divide-Retrieve-Conquer Framework for Enhanced RTL Synthesis and Summarization</t>
  </si>
  <si>
    <t>Register-Transfer Level (RTL) synthesis and summarization are central to hardware design automation but remain challenging for Large Language Models (LLMs) due to rigid HDL syntax, limited supervision, and weak alignment with natural language. Existing prompting and retrieval-augmented generation (RAG) methods have not incorporated symbolic planning, limiting their structural precision. We introduce SYMDIREC, a neuro-symbolic framework that decomposes RTL tasks into symbolic subgoals, retrieves relevant code via a fine-tuned retriever, and assembles verified outputs through LLM reasoning. Supporting both Verilog and VHDL without LLM fine-tuning, SYMDIREC achieves ~20% higher Pass@1 rates for synthesis and 15–20% ROUGE-L improvements for summarization over prompting and RAG baselines, demonstrating the benefits of symbolic guidance in RTL tasks.</t>
  </si>
  <si>
    <t>Prashanth Vijayaraghavan, Apoorva Nitsure, Luyao Shi, Charles Mackin, Ashutosh Jadhav, David Beymer, Ehsan Degan, Vandana Mukherjee</t>
  </si>
  <si>
    <t>180-IND</t>
  </si>
  <si>
    <t>Lightweight Domain-Specific Language Model for Real-Time Structuring of Medical Prescriptions</t>
  </si>
  <si>
    <t>Automated structuring of medical prescriptions is critical for downstream safety checks in pharmacies, yet remains challenging due to heterogeneous layouts, OCR noise, and dense clinical abbreviations in real-world documents. Existing language models either ignore layout information, rely on computationally expensive image-based architectures, or cannot operate under strict privacy and hardware constraints such as GDPR and HDS-certified environments. We present a lightweight (&lt;10M parameters), privacy-preserving transformer specifically designed for Entity Extraction (EE) and Entity Linking (EL) in French medical prescriptions. The model uses only OCR text and normalized 2D word coordinates, enabling robust pseudonymisation and real-time CPU-level inference while preserving essential spatial cues. It is pretrained on a large corpus of pseudonymised OCR outputs using objectives tailored to prescription structure, including a novel Token-to-Line Alignment (TLA) task, and fine-tuned on the Rx-PAD dataset (Pattin Cottet et al., 2025). Empirical results show that our approach matches or surpasses larger document-understanding models and rivals multimodal LLMs on strict extraction metrics, while achieving sub-second latency suitable for operational deployment. The system is currently used in 230 pharmacies, demonstrating both scalability and practical relevance. These findings highlight the importance of specialized, domain-aware, lightweight models for safe, efficient, and legally compliant prescription verification.</t>
  </si>
  <si>
    <t>Jonathan Pattin Cottet, Véronique Eglin, Alex Aussem</t>
  </si>
  <si>
    <t>Jonathan Pattin Cottet</t>
  </si>
  <si>
    <t>184-IND</t>
  </si>
  <si>
    <t>PharmaQA.IT: an Italian dataset for Q\&amp;A in the pharmaceutical domain</t>
  </si>
  <si>
    <t>The growing use of Large Language Models (LLMs) for medical Question Answering (QA) requires reliable, evidence-grounded benchmarks beyond English. In Italy, Riassunti delle Caratteristiche del Prodotto (RCP) issued by the Italian Medicines Agency (AIFA) are the main regulatory source on medicines, yet no QA dataset exists on these documents, limiting the development and evaluation of trustworthy Italian QA systems. We introduce \textbf{PharmaQA.IT}, an Italian extractive QA dataset built from RCPs in PharmaER.IT. Using a semi-automatic pipeline, we (i) select informative pages from 1{,}077 leaflets, (ii) prompt a multimodal LLM on page images with professional personas to generate candidate question–answer pairs, and (iii) validate and normalise them with expert revision. The final dataset contains 861 high-quality question–answer pairs on indications, contraindications, dosage, warnings, interactions, and pharmacological properties. We frame PharmaQA.IT as an extractive QA benchmark with structured JSON outputs and evaluate a range of open and proprietary LLMs. Results show that open models approach closed-source performance under a chunking-and-retrieval setup. PharmaQA.IT, together with all code, prompts, and evaluation scripts, will be publicly released to support research on trustworthy Italian biomedical QA. PharmaQA.IT, together with all code, prompts, and evaluation scripts, is publicly \href{https://huggingface.co/datasets/VillanovaAI/PharmaQA.IT}{available on Hugging Face} to support research on trustworthy Italian biomedical QA.</t>
  </si>
  <si>
    <t>Kamyar Zeinalipour, Andrea Zugarini, Asya Zanollo, Leonardo Rigutini</t>
  </si>
  <si>
    <t>Kamyar Zeinalipour</t>
  </si>
  <si>
    <t>185-IND</t>
  </si>
  <si>
    <t>DIRECT: Directional Relevance in Conversational Trajectories</t>
  </si>
  <si>
    <t>Conversational Agents have become ubiquitous across application domains, such as, shopping assistants, medical diagnosis, autonomous task planning etc. Users interacting with these agents often fail to understand how to start a conversation or what to ask next to obtain the desired information. To enable seamless and hassle-free user-agent interactions, we introduce Next Question Suggestions (NQS), which are essentially highly relevant follow-up question recommendations that act as conversation starters or discover-ability tools to capture non-trivial user intents, leading to more engaging conversations. Relying on LLMs for both response as well as NQS generation is a costly ask in latency-constrained commercial settings, with an added risk of handling potentially unsafe or unanswerable generated queries. A key component of building an efficient low-latency NQS experience is, therefore, retrieval (or embedding) models that fetch the most-relevant candidate questions from an offline pre-curated Question Bank (QB). Off-the-shelf embedding models cannot capture domain-specific nuances and more importantly the directionality inherent in follow-up question recommendations. In this work, we propose an end-to-end retrieval system, DIRECT that is optimized to model directional relevance. Given a user query, it produces a ranked list of highly relevant follow-up question recommendations within 1 sec. Our system also contains an LLM-as-a-judge component, tuned on proprietary user-agent interaction logs, to evaluate the end-to-end performance in terms of CTR.</t>
  </si>
  <si>
    <t>Rajdeep Mukherjee, Anshuman Mourya, Prerna Jolly, Vinayak S Puranik, Sivaramakrishnan R Kaveri</t>
  </si>
  <si>
    <t>Anshuman Mourya</t>
  </si>
  <si>
    <t>9-SRW</t>
  </si>
  <si>
    <t>Voice Identification of 1960s Tamil Singers Using Transfer Learning for Preserving Cultural Heritage</t>
  </si>
  <si>
    <t>Need</t>
  </si>
  <si>
    <t>Sathiyakugan Balakrishnan; Uthayasanker Thayasivam</t>
  </si>
  <si>
    <t>13-SRW</t>
  </si>
  <si>
    <t>Thesis Proposal: Efficient KV Cache Reuse for Multi-Document Retrieval-Augmented Generation</t>
  </si>
  <si>
    <t>Zhipeng Zhang; Dmitry Ilvovsky</t>
  </si>
  <si>
    <t>14-SRW</t>
  </si>
  <si>
    <t>Thesis proposal: COGNILENS: Analyzing Cognitive Decline in Language Models for Alzheimer's Monitoring</t>
  </si>
  <si>
    <t>Jonathan Guerne</t>
  </si>
  <si>
    <t>17-SRW</t>
  </si>
  <si>
    <t>Beyond One-Step Distillation: Bridging the Capacity Gap in Small Language Models via Multi-Step Knowledge Transfer</t>
  </si>
  <si>
    <t>Gaeun Yim; Nayoung Ko; Manasa Bharadwaj</t>
  </si>
  <si>
    <t>19-SRW</t>
  </si>
  <si>
    <t>Thesis proposal: Are We Losing Textual Diversity to Natural Language Processing?</t>
  </si>
  <si>
    <t>Josef Jon; Ondřej Bojar</t>
  </si>
  <si>
    <t>21-SRW</t>
  </si>
  <si>
    <t>Construction of an Evaluation Dataset for Hallucination Detection in Japanese Summarization Task</t>
  </si>
  <si>
    <t>Hikari Tanaka; Atsushi Keyaki; Mamoru Komachi</t>
  </si>
  <si>
    <t>23-SRW</t>
  </si>
  <si>
    <t>Comparing Text Compression Capabilities of Large Language Models with Traditional Compression Algorithms</t>
  </si>
  <si>
    <t>Mehran Haddadi; William John Teahan</t>
  </si>
  <si>
    <t>24-SRW</t>
  </si>
  <si>
    <t>Comprehensive Comparison of RAG Methods Across Multi-Domain Conversational QA</t>
  </si>
  <si>
    <t>Klejda Alushi; Jan Strich; Chris Biemann; Martin Semmann</t>
  </si>
  <si>
    <t>25-SRW</t>
  </si>
  <si>
    <t>LEMUR: Robust Fine-Tuning for Multilingual Embedding Models for Retrieval</t>
  </si>
  <si>
    <t>Narges Baba Ahmadi; Jan Strich; Martin Semmann; Chris Biemann</t>
  </si>
  <si>
    <t>28-SRW</t>
  </si>
  <si>
    <t>Trainable, Multiword-aware Tokenization Using Modern Neural Networks</t>
  </si>
  <si>
    <t>Clara Boesenberg; Kilian Evang</t>
  </si>
  <si>
    <t>33-SRW</t>
  </si>
  <si>
    <t>Different Time, Different Language: Revisiting the Bias Against Non-Native Speakers in GPT Detectors</t>
  </si>
  <si>
    <t>Adnan Al Ali; Jindřich Helcl; Jindřich Libovický</t>
  </si>
  <si>
    <t>35-SRW</t>
  </si>
  <si>
    <t>Call, Reward, Repeat: Advancing Dialog State Tracking with GRPO and Function Calling</t>
  </si>
  <si>
    <t>Timur Ionov; Anna Marshalova; Valentin Malykh</t>
  </si>
  <si>
    <t>36-SRW</t>
  </si>
  <si>
    <t>Generalising LLM Routing using Past Performance Retrieval: A Few-Shot Router is Sufficient</t>
  </si>
  <si>
    <t>Clovis Varangot-Reille; Christophe Bouvard; Antoine Gourru</t>
  </si>
  <si>
    <t>38-SRW</t>
  </si>
  <si>
    <t>CAPID: Context-Aware PII Detection for Question-Answering Systems</t>
  </si>
  <si>
    <t>Mariia Ponomarenko; Sepideh Abedini; Masoumeh Shafieinejad; D. B. Emerson; Shubhankar Mohapatra; Xi He</t>
  </si>
  <si>
    <t>39-SRW</t>
  </si>
  <si>
    <t>Exploring the Semantic Space of Second Language Learners</t>
  </si>
  <si>
    <t>Trisha Godara; Rui He; Wolfram Hinzen; Yan Cong</t>
  </si>
  <si>
    <t>40-SRW</t>
  </si>
  <si>
    <t>Kahaani: A Multimodal Co-Creative Storytelling System</t>
  </si>
  <si>
    <t>Samee Arif; Taimoor Arif; Muhammad Saad Haroon; Aamina Jamal Khan; Agha Ali Raza; Awais Athar</t>
  </si>
  <si>
    <t>42-SRW</t>
  </si>
  <si>
    <t>A Benchmark and Evaluation of Automated Language of Study Extraction from Computational Linguistics Publications</t>
  </si>
  <si>
    <t>Ashwin Kirubakaran; Henry Gagnier</t>
  </si>
  <si>
    <t>43-SRW</t>
  </si>
  <si>
    <t>Who Plays Which Role? Protagonist Detection and Classification in Moral Discourse</t>
  </si>
  <si>
    <t>Mirko Sommer; Maria Becker</t>
  </si>
  <si>
    <t>44-SRW</t>
  </si>
  <si>
    <t>Thesis Proposal: Multimodal Benchmark for Music Understanding in Large Language Models</t>
  </si>
  <si>
    <t>Tomáš Sourada</t>
  </si>
  <si>
    <t>45-SRW</t>
  </si>
  <si>
    <t>Communication as a Complex System: Modeling the Feedback Dynamics of Trust and Credibility</t>
  </si>
  <si>
    <t>Swaptik Chowdhury; Samuel D. Allen; Jung Hee Hyun</t>
  </si>
  <si>
    <t>46-SRW</t>
  </si>
  <si>
    <t>The Clinical Fingerprint: Comparing the Rhetorical Integrity and Epistemic Safety of Human Physicians and Large Language Models</t>
  </si>
  <si>
    <t>Bayram Ayadi</t>
  </si>
  <si>
    <t>49-SRW</t>
  </si>
  <si>
    <t>Acceleration of Backpropagation in Linear Layers of Transformer Models Based on Gradient Structure</t>
  </si>
  <si>
    <t>Dmitrii Topchii; Alexander Panchenko; Viktoriia A. Chekalina</t>
  </si>
  <si>
    <t>50-SRW</t>
  </si>
  <si>
    <t>Chronocept: Instilling a Sense of Time in Machines</t>
  </si>
  <si>
    <t>Krish Goel; Sanskar Pandey; Mahadevan KS; Harsh Kumar; Vishesh Khadaria</t>
  </si>
  <si>
    <t>52-SRW</t>
  </si>
  <si>
    <t>When Prompt Optimization Becomes Jailbreaking: Adaptive Red-Teaming of Large Language Models</t>
  </si>
  <si>
    <t>Zafir Shamsi; Nikhil Chekuru; Zachary Guzman; Shivank Garg</t>
  </si>
  <si>
    <t>53-SRW</t>
  </si>
  <si>
    <t>GraphRAG-Rad: Concept-Aware Radiology Report Generation via Latent Visual-Semantic Retrieval</t>
  </si>
  <si>
    <t>Faezeh Safari; Hang Dong; ZEYU FU; Aline Villavicencio</t>
  </si>
  <si>
    <t>55-SRW</t>
  </si>
  <si>
    <t>Token Pruning for Improving Graph-Generating State Space Model Performance</t>
  </si>
  <si>
    <t>Monish Beegamudre; Jack Zheng; Margaret Capetz</t>
  </si>
  <si>
    <t>58-SRW</t>
  </si>
  <si>
    <t>Scale Is All You Need 🙄: Analyzing Modality Interaction and Speaker Intent Without Fine-Tuning</t>
  </si>
  <si>
    <t>Animesh Gurjar; Nikhil Krishnaswamy</t>
  </si>
  <si>
    <t>59-SRW</t>
  </si>
  <si>
    <t>Plasticity vs. Rigidity: The Impact of Low-Rank Adapters on Reasoning on a Micro-Budget</t>
  </si>
  <si>
    <t>Zohaib Khan; Omer Tafveez; Zoha Hayat Bhatti</t>
  </si>
  <si>
    <t>64-SRW</t>
  </si>
  <si>
    <t>In-Image Machine Translation. A Preliminary Modular Approach</t>
  </si>
  <si>
    <t>Sergio Gomez Gonzalez; Miguel Domingo; Francisco Casacuberta</t>
  </si>
  <si>
    <t>65-SRW</t>
  </si>
  <si>
    <t>Text-to-Text Automatic Story Generation: A Survey</t>
  </si>
  <si>
    <t>Yuan Ma; Hanna Suominen; Patrik Haslum; Richard Susilo</t>
  </si>
  <si>
    <t>66-SRW</t>
  </si>
  <si>
    <t>Probabilistic Bilingual Subword Segmentation with Latent Subword Alignment</t>
  </si>
  <si>
    <t>Shoto Nishida; Daiki Matsui; Takashi Ninomiya; Isao Goto; Akihiro Tamura</t>
  </si>
  <si>
    <t>68-SRW</t>
  </si>
  <si>
    <t>Thesis Proposal: Development of End-to-End Speech Translation Models for Indian Languages</t>
  </si>
  <si>
    <t>Jamaluddin</t>
  </si>
  <si>
    <t>73-SRW</t>
  </si>
  <si>
    <t>Towards Singable Lyrics Translation Using Large Language Models</t>
  </si>
  <si>
    <t>Liu Hanze; Yusuke Sakai; Taro Watanabe</t>
  </si>
  <si>
    <t>74-SRW</t>
  </si>
  <si>
    <t>Evaluating the Impact of SAE-based Language Steering on LLM Performance</t>
  </si>
  <si>
    <t>Sebastian Zwirner; Wentao Hu; Koshiro Aoki; Daisuke Kawahara</t>
  </si>
  <si>
    <t>76-SRW</t>
  </si>
  <si>
    <t>Annotation-Efficient Vision-Language Model Adaptation to the Polish Language Using the LLaVA Framework</t>
  </si>
  <si>
    <t>Grzegorz Statkiewicz; Alicja Dobrzeniecka; Karolina Seweryn; Aleksandra Krasnodębska; Karolina Piosek; Katarzyna Bogusz; Sebastian Cygert; Wojciech Kusa</t>
  </si>
  <si>
    <t>78-SRW</t>
  </si>
  <si>
    <t>A Computational Forensic Linguistic Analysis of Narrative and Question-Answer Structures in Italian Police Interrogation Transcripts</t>
  </si>
  <si>
    <t>Romane Werner; Thomas François; Sonja Bitzer</t>
  </si>
  <si>
    <t>80-SRW</t>
  </si>
  <si>
    <t>Thesis Proposal: A Multi-Agent System for Ontology-Based Perspective-Aware Knowledge Extraction</t>
  </si>
  <si>
    <t>Luiz do Valle Miranda; Grzegorz J. Nalepa</t>
  </si>
  <si>
    <t>84-SRW</t>
  </si>
  <si>
    <t>Fake News Detection Strategies under Dataset Bias: Using Large-scale Coarse-grained Labels</t>
  </si>
  <si>
    <t>Yuki Kishi; Yuji Arima; Hitoshi Iyatomi</t>
  </si>
  <si>
    <t>86-SRW</t>
  </si>
  <si>
    <t>DRAGOn: Designing RAG On Periodically Updated Corpus</t>
  </si>
  <si>
    <t>Fedor Chernogorskii; Sergei Averkiev; Liliya Kudraleeva; Zaven Martirosian; Maria Tikhonova; Valentin Malykh; Alena Fenogenova</t>
  </si>
  <si>
    <t>92-SRW</t>
  </si>
  <si>
    <t>Efficient Low-Resource Language Model Using Tokenizer Transfer</t>
  </si>
  <si>
    <t>Gustaf Gren; Murathan Kurfali</t>
  </si>
  <si>
    <t>93-SRW</t>
  </si>
  <si>
    <t>Learning Nested Named Entity Recognition from Flat Annotations</t>
  </si>
  <si>
    <t>Igor Rozhkov; Natalia V Loukachevitch</t>
  </si>
  <si>
    <t>94-SRW</t>
  </si>
  <si>
    <t>LLMs Exhibit Performative Fairness When Generating Profiles with Complex Geopolitical Identities</t>
  </si>
  <si>
    <t>Maida Aizaz; Quang Minh Nguyen</t>
  </si>
  <si>
    <t>95-SRW</t>
  </si>
  <si>
    <t>Beyond Bias Scores: Unmasking Vacuous Neutrality in Small Language Models</t>
  </si>
  <si>
    <t>Sumanth Manduru; Carlotta Domeniconi</t>
  </si>
  <si>
    <t>96-SRW</t>
  </si>
  <si>
    <t>From Detection to Explanation: Modeling Fine-Grained Emotional Social Influence Techniques with LLMs and Human Preferences</t>
  </si>
  <si>
    <t>Maciej Markiewicz; Wiktoria Mieleszczenko-Kowszewicz; Beata Bajcar; Tomasz Adamczyk; Aleksander Szczęsny; Jolanta Babiak; Przemyslaw Kazienko</t>
  </si>
  <si>
    <t>97-SRW</t>
  </si>
  <si>
    <t>How Do Lexical Senses Correspond Between Spoken German and German Sign Language?</t>
  </si>
  <si>
    <t>Melis Çelikkol; Wei Zhao</t>
  </si>
  <si>
    <t>100-SRW</t>
  </si>
  <si>
    <t>Evaluating Cost-Efficiency of LLMs in a RAG Setup on Polish Wikipedia: Quality vs. Energy Consumption</t>
  </si>
  <si>
    <t>Patrycja Smits; Tomasz Walkowiak</t>
  </si>
  <si>
    <t>101-SRW</t>
  </si>
  <si>
    <t>Thesis Proposal: Measuring Prejudice at Scale</t>
  </si>
  <si>
    <t>Zoran Fijavž; Senja Pollak; Veronika Bajt</t>
  </si>
  <si>
    <t>112-SRW</t>
  </si>
  <si>
    <t>Energy Matching based Preference Learning for Diffusion Langauge Models</t>
  </si>
  <si>
    <t>118-SRW</t>
  </si>
  <si>
    <t>Thesis Proposal: Stability-Aware, Evidence-Grounded Knowledge Graphs for Substance Use Disorders and Social Determinants of Health</t>
  </si>
  <si>
    <t>Gautham Vijay Kumar</t>
  </si>
  <si>
    <t>122-SRW</t>
  </si>
  <si>
    <t>Detecting Overflow in Compressed Token Representations for Retrieval-Augmented Generation</t>
  </si>
  <si>
    <t>Julia Belikova; Danila Rozhevskii; Dennis Svirin; Konstantin Polev; Alexander Panchenko</t>
  </si>
  <si>
    <t>137-SRW</t>
  </si>
  <si>
    <t>$\texttt{lrnn-lib}$: A library for Linear RNNs</t>
  </si>
  <si>
    <t>Karan Bania; Soham Kalburgi; Manit Tanwar; Dhruthi; Aditya Nagarsekar; Harshvardhan Mestha; Naman Chibber; Raj Deshmukh; Anish Sathyanarayanan; Aarush Rathore; Pratham Chheda</t>
  </si>
  <si>
    <t>143-SRW</t>
  </si>
  <si>
    <t>Automatic Generation of a Compositional QA Benchmark for Geospatial Reasoning under Spatial and Entity Constraints</t>
  </si>
  <si>
    <t>Tetsuhisa Suizu; Shohei Higashiyama; Hiroyuki Shindo; Hiroki Ouchi; Sakriani Sakti</t>
  </si>
  <si>
    <t>146-SRW</t>
  </si>
  <si>
    <t>Thesis Proposal: Comparing Human and Model Perception of Writing Style under Controlled Perturbations</t>
  </si>
  <si>
    <t>Ewelina Paulina Księżniak</t>
  </si>
  <si>
    <t>147-SRW</t>
  </si>
  <si>
    <t>Bring the Apple, Not the Sofa: Impact of Irrelevant Context in Embodied AI Commands on VLA Models</t>
  </si>
  <si>
    <t>Andrey Moskalenko; Daria Pugacheva; Denis Shepelev; Andrey Kuznetsov; Vlad Shakhuro; Elena Tutubalina</t>
  </si>
  <si>
    <t>148-SRW</t>
  </si>
  <si>
    <t>An Evaluation of Classifiers for Mapping Generative LLM Responses to Answer Options of Multiple-choice Questionnaires</t>
  </si>
  <si>
    <t>Alisea Stroligo; Anna Shamray; Julian Schelb; Andreas Spitz</t>
  </si>
  <si>
    <t>153-SRW</t>
  </si>
  <si>
    <t>Beep boop: Bot Detection as a Preprocessing Step for Polish Reddit</t>
  </si>
  <si>
    <t>Karmela Matyjaszek</t>
  </si>
  <si>
    <t>157-SRW</t>
  </si>
  <si>
    <t>Emergent Misalignment: Tracking the Emergence and Evolution of Misaligned traits throughout Model Training</t>
  </si>
  <si>
    <t>Geunwoo Park; Pranay Chauhan; Haihao Liu</t>
  </si>
  <si>
    <t>158-SRW</t>
  </si>
  <si>
    <t>FluffInjector: Diagnosing Logical Consistency Failures in Chain-of-Thought Reward Models</t>
  </si>
  <si>
    <t>Varshith Vijjapu; Krishiv Ray; Archana Vaidheeswaran</t>
  </si>
  <si>
    <t>160-SRW</t>
  </si>
  <si>
    <t>What the Router Sees Matters: Funnel Pooling for Fast, Content Driven Expert Routing</t>
  </si>
  <si>
    <t>Josef Pichlmeier; Sebastian Nicolas Mueller; Jakob Sturm; Josef Dräxl; Andre Luckow</t>
  </si>
  <si>
    <t>161-SRW</t>
  </si>
  <si>
    <t>TimeRes: A Turkish Benchmark For Evaluating Temporal Understanding of Large Language Models</t>
  </si>
  <si>
    <t>Habib Yağız Demir; Susan Üsküdarlı; Ümit Atlamaz</t>
  </si>
  <si>
    <t>162-SRW</t>
  </si>
  <si>
    <t>Hospitality-VQA: Decision-Oriented Informativeness Evaluation for Vision–Language Models</t>
  </si>
  <si>
    <t>Jeongwoo Lee; Baek Duhyeong; Eungyeol Han; Soyeon Shin; Gukin han; Seungduk Kim; Jaehyun Jeon; Taewoo Jeong</t>
  </si>
  <si>
    <t>167-SRW</t>
  </si>
  <si>
    <t>Colorism in Large Vision-Language Models: An Empirical Exploration of Socioeconomic Linguistic Bias</t>
  </si>
  <si>
    <t>Raj Gaurav Maurya; Vaibhav Shukla; Sreedath Panat</t>
  </si>
  <si>
    <t>168-SRW</t>
  </si>
  <si>
    <t>Pushing the Boundaries of Multiple Choice Evaluation to One Hundred Options</t>
  </si>
  <si>
    <t>Nahyun Lee; Guijin Son</t>
  </si>
  <si>
    <t>169-SRW</t>
  </si>
  <si>
    <t>Broken Chains: The Cost of Incomplete Reasoning in LLMs</t>
  </si>
  <si>
    <t>Ian Su; Gaurav Purushothaman; Jey Narayan; Ruhika Goel; Kevin Zhu; Sunishchal Dev; Yash More; Maheep Chaudhary</t>
  </si>
  <si>
    <t>171-SRW</t>
  </si>
  <si>
    <t>You Didn't Have to Say It Like That: Subliminal Learning from Faithful Paraphrases</t>
  </si>
  <si>
    <t>Isaia Gisler; Zhonghao He; Tianyi Alex Qiu</t>
  </si>
  <si>
    <t>172-SRW</t>
  </si>
  <si>
    <t>Active Learning for Corpus Refinement: Cost-Effective Preprocessing to Improve Validity of Applied Quantitative Text Analysis</t>
  </si>
  <si>
    <t>Jakob Steglich; Stephan Poppe</t>
  </si>
  <si>
    <t>176-SRW</t>
  </si>
  <si>
    <t>Understanding Subliminal Learning: Generality, Sensitivity, and Token-Level Explanations</t>
  </si>
  <si>
    <t>Yagnesh Veeraraghavan; Keanu Lim; Jacob Lipner; Saanvi Ibrahimpatnam; Kevin Zhu; Madhur Panwar</t>
  </si>
  <si>
    <t>178-SRW</t>
  </si>
  <si>
    <t>From Sentences to Proof Trees: Leveraging Language Models for Structured Reasoning</t>
  </si>
  <si>
    <t>Aayushee Gupta</t>
  </si>
  <si>
    <t>1002-SRW</t>
  </si>
  <si>
    <t>Mask What Matters: Mitigating Object Hallucinations in Large Vision–Language Models with Object-Aligned Visual Contrastive Decoding</t>
  </si>
  <si>
    <t>Boqi Chen; Xudong Liu; Jianing Qiu</t>
  </si>
  <si>
    <t>1004-SRW</t>
  </si>
  <si>
    <t>Domain Adaptation of Image Encoder for Multimodal Manga Translation</t>
  </si>
  <si>
    <t>Kota Manabe; Tomoyuki Kajiwara; Takashi Ninomiya; Isao Goto; Shonosuke Ishiwatari; Hiroshi Noji</t>
  </si>
  <si>
    <t>1006-SRW</t>
  </si>
  <si>
    <t>Do Multi-Agents Solve Better Than Single? Evaluating Agentic Frameworks for Diagram-Grounded Geometry Problem Solving and Reasoning</t>
  </si>
  <si>
    <t>Mahbub E Sobhani; Md. Faiyaz Abdullah Sayeedi; Mohammad Nehad Alam; Proma Hossain Progga; Swakkhar Shatabda</t>
  </si>
  <si>
    <t>1009-SRW</t>
  </si>
  <si>
    <t>PATCH Dataset: Empowering Traditional Chinese Safety Classifiers for Lightweight LLM</t>
  </si>
  <si>
    <t>Chi-Wei Chang; Chiung-Jui Chen; Richard Tzong-Han Tsai</t>
  </si>
  <si>
    <t>1010-SRW</t>
  </si>
  <si>
    <t>Luth: Efficient French Specialization for Small Language Models and Cross-Lingual Transfer</t>
  </si>
  <si>
    <t>Sinoué GAD; Maxence Lasbordes</t>
  </si>
  <si>
    <t>1012-SRW</t>
  </si>
  <si>
    <t>Machine Translation for Low-Resource Languages through Monolingual Data and LLM: A Case Study of English-to-Basque</t>
  </si>
  <si>
    <t>Nam Luu; Aitor Soroa; German Rigau; Ondřej Bojar</t>
  </si>
  <si>
    <t>1013-SRW</t>
  </si>
  <si>
    <t>Rethinking the Evaluation of Alignment Methods: Insights into Diversity, Generalisation, and Safety</t>
  </si>
  <si>
    <t>Denis Janiak; Julia Moska; Dawid Motyka; Karolina Seweryn; Paweł Walkowiak; Bartosz Żuk; Arkadiusz Janz</t>
  </si>
  <si>
    <t>1014-SRW</t>
  </si>
  <si>
    <t>Modality Matching Matters: Calibrating Language Distances for Cross-Lingual Transfer in URIEL+</t>
  </si>
  <si>
    <t>York Hay Ng; Aditya Khan; Xiang Lu; Matteo Salloum; Michael Zhou; Phuong Hanh Hoang; A. Seza Doğruöz; En-Shiun Annie Lee</t>
  </si>
  <si>
    <t>1015-SRW</t>
  </si>
  <si>
    <t>What Persona Are We Missing? Identifying Unknown Relevant Personas for Faithful User Simulation</t>
  </si>
  <si>
    <t>Weiwen SU; Yuhan Zhou; Zihan Wang; Naoki Yoshinaga; Masashi Toyoda</t>
  </si>
  <si>
    <t>Order</t>
  </si>
  <si>
    <t>Adaptive Helpfulness: Harmlessness Alignment with Preference Vectors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</si>
</sst>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0" fillId="0" borderId="1" xfId="0" applyBorder="1"/>
    <xf numFmtId="0" fontId="0" fillId="0" borderId="0" xfId="0" applyBorder="1"/>
    <xf numFmtId="0" fontId="2" fillId="0" borderId="0" xfId="0" applyFont="1" applyBorder="1"/>
    <xf numFmtId="0" fontId="0" fillId="0" borderId="2" xfId="0" applyBorder="1"/>
    <xf numFmtId="0" fontId="1" fillId="0" borderId="1" xfId="0" applyFont="1" applyBorder="1"/>
    <xf numFmtId="0" fontId="1" fillId="0" borderId="0" xfId="0" applyFont="1" applyBorder="1"/>
  </cellXfs>
  <cellStyles count="1">
    <cellStyle name="Normal" xfId="0" builtinId="0"/>
  </cellStyles>
  <dxfs count="1">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61765-14E8-BE45-9489-F5502996F3AB}" name="Table1" displayName="Table1" ref="A1:L704" totalsRowShown="0" headerRowDxfId="0">
  <autoFilter ref="A1:L704" xr:uid="{CC961765-14E8-BE45-9489-F5502996F3AB}">
    <filterColumn colId="9">
      <filters>
        <filter val="Fri. Mar 27"/>
      </filters>
    </filterColumn>
  </autoFilter>
  <sortState xmlns:xlrd2="http://schemas.microsoft.com/office/spreadsheetml/2017/richdata2" ref="A2:L674">
    <sortCondition ref="I1:I704"/>
  </sortState>
  <tableColumns count="12">
    <tableColumn id="1" xr3:uid="{BAC2C161-75ED-074E-B090-F3FF82A2B024}" name="Paper number"/>
    <tableColumn id="2" xr3:uid="{100C15DE-E0AB-144F-B3A3-693F11BFF00F}" name="Title"/>
    <tableColumn id="3" xr3:uid="{55D543CD-FBAA-EF4E-9BC4-81E9041D15F7}" name="Abstract"/>
    <tableColumn id="4" xr3:uid="{4A908A72-BF55-354D-8117-8DF5062DCA91}" name="Authors Names"/>
    <tableColumn id="5" xr3:uid="{117B9150-7280-614C-8E8D-9094523E79ED}" name="Presenters Name"/>
    <tableColumn id="6" xr3:uid="{8A7A9D0C-5E47-5443-8E99-DA6B0143C897}" name="Type of Presentation"/>
    <tableColumn id="7" xr3:uid="{34C7A0A0-B0FB-334C-AAAD-DB7A30920B53}" name="Attendance Type"/>
    <tableColumn id="8" xr3:uid="{5EF09149-C99A-1040-B78F-C19C1EE9F800}" name="Room Location"/>
    <tableColumn id="9" xr3:uid="{C1600B73-E9F1-844D-AF4B-AB73D7172E5C}" name="Session"/>
    <tableColumn id="10" xr3:uid="{324206A7-D68C-554E-B897-C9B8327F204F}" name="Session Date"/>
    <tableColumn id="11" xr3:uid="{A61B2341-C33B-3547-A5F7-CF4B5454ACC1}" name="Session time"/>
    <tableColumn id="12" xr3:uid="{316A9AA0-AD05-F545-A3F4-9EF03572AB06}" name="Order"/>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704"/>
  <sheetViews>
    <sheetView tabSelected="1" topLeftCell="B1" zoomScale="95" zoomScaleNormal="95" workbookViewId="0">
      <selection activeCell="I9" sqref="I9:I36"/>
    </sheetView>
  </sheetViews>
  <sheetFormatPr baseColWidth="10" defaultColWidth="12.6640625" defaultRowHeight="15.75" customHeight="1" x14ac:dyDescent="0.15"/>
  <cols>
    <col min="1" max="1" width="15.5" customWidth="1"/>
    <col min="2" max="2" width="62.6640625" customWidth="1"/>
    <col min="3" max="5" width="20.83203125" customWidth="1"/>
    <col min="6" max="6" width="7" customWidth="1"/>
    <col min="7" max="7" width="10.83203125" customWidth="1"/>
    <col min="8" max="8" width="17" customWidth="1"/>
    <col min="9" max="9" width="20.83203125" customWidth="1"/>
    <col min="10" max="10" width="12.6640625" customWidth="1"/>
    <col min="11" max="11" width="11.5" customWidth="1"/>
  </cols>
  <sheetData>
    <row r="1" spans="1:12" ht="13" x14ac:dyDescent="0.15">
      <c r="A1" s="1" t="s">
        <v>0</v>
      </c>
      <c r="B1" s="1" t="s">
        <v>1</v>
      </c>
      <c r="C1" s="1" t="s">
        <v>2</v>
      </c>
      <c r="D1" s="1" t="s">
        <v>3</v>
      </c>
      <c r="E1" s="1" t="s">
        <v>4</v>
      </c>
      <c r="F1" s="1" t="s">
        <v>5</v>
      </c>
      <c r="G1" s="1" t="s">
        <v>6</v>
      </c>
      <c r="H1" s="1" t="s">
        <v>7</v>
      </c>
      <c r="I1" s="1" t="s">
        <v>8</v>
      </c>
      <c r="J1" s="1" t="s">
        <v>9</v>
      </c>
      <c r="K1" s="2" t="s">
        <v>10</v>
      </c>
      <c r="L1" s="2" t="s">
        <v>3143</v>
      </c>
    </row>
    <row r="2" spans="1:12" ht="15.75" customHeight="1" x14ac:dyDescent="0.15">
      <c r="A2" s="2" t="str">
        <f ca="1">IFERROR(__xludf.DUMMYFUNCTION("""COMPUTED_VALUE"""),"101-DEMO")</f>
        <v>101-DEMO</v>
      </c>
      <c r="B2" s="2" t="str">
        <f ca="1">IFERROR(__xludf.DUMMYFUNCTION("""COMPUTED_VALUE"""),"EvalSense: A Framework for Domain-Specific LLM (Meta-)Evaluation")</f>
        <v>EvalSense: A Framework for Domain-Specific LLM (Meta-)Evaluation</v>
      </c>
      <c r="C2" s="2" t="str">
        <f ca="1">IFERROR(__xludf.DUMMYFUNCTION("""COMPUTED_VALUE"""),"Robust and comprehensive evaluation of large language models (LLMs) is essential for identifying the most effective LLM system configurations and mitigating risks associated with deploying LLMs in sensitive domains. However, traditional statistical metric"&amp;"s are poorly suited to open-ended generation tasks, leading to growing reliance on LLM-based evaluation methods. These methods, while often more flexible, introduce additional complexity: they depend on carefully chosen models, prompts, parameters, and ev"&amp;"aluation strategies, making the evaluation process prone to misconfiguration and bias. In this work, we present EvalSense, a flexible, extensible framework for constructing domain-specific evaluation suites tailored to custom datasets and tasks. EvalSense"&amp;" provides out-of-the-box support for a broad range of model providers and evaluation strategies, and assists users in selecting and deploying suitable evaluation methods for their specific use-case. This is achieved through two core components: (1) an int"&amp;"eractive guide aiding users in evaluation method selection and (2) automated meta-evaluation tools that assess the effectiveness of different evaluation approaches using perturbed data. We demonstrate the effectiveness of EvalSense in a case study involvi"&amp;"ng the generation of clinical notes from unstructured doctor-patient dialogues, using a popular open-source dataset. All code, documentation, and assets associated with EvalSense are open-source and publicly available at https://github.com/nhsengland/eval"&amp;"sense.")</f>
        <v>Robust and comprehensive evaluation of large language models (LLMs) is essential for identifying the most effective LLM system configurations and mitigating risks associated with deploying LLMs in sensitive domains. However, traditional statistical metrics are poorly suited to open-ended generation tasks, leading to growing reliance on LLM-based evaluation methods. These methods, while often more flexible, introduce additional complexity: they depend on carefully chosen models, prompts, parameters, and evaluation strategies, making the evaluation process prone to misconfiguration and bias. In this work, we present EvalSense, a flexible, extensible framework for constructing domain-specific evaluation suites tailored to custom datasets and tasks. EvalSense provides out-of-the-box support for a broad range of model providers and evaluation strategies, and assists users in selecting and deploying suitable evaluation methods for their specific use-case. This is achieved through two core components: (1) an interactive guide aiding users in evaluation method selection and (2) automated meta-evaluation tools that assess the effectiveness of different evaluation approaches using perturbed data. We demonstrate the effectiveness of EvalSense in a case study involving the generation of clinical notes from unstructured doctor-patient dialogues, using a popular open-source dataset. All code, documentation, and assets associated with EvalSense are open-source and publicly available at https://github.com/nhsengland/evalsense.</v>
      </c>
      <c r="D2" s="2" t="str">
        <f ca="1">IFERROR(__xludf.DUMMYFUNCTION("""COMPUTED_VALUE"""),"Adam Dejl, Jonathan Pearson")</f>
        <v>Adam Dejl, Jonathan Pearson</v>
      </c>
      <c r="E2" s="2" t="str">
        <f ca="1">IFERROR(__xludf.DUMMYFUNCTION("""COMPUTED_VALUE"""),"Adam Dejl")</f>
        <v>Adam Dejl</v>
      </c>
      <c r="F2" s="2" t="str">
        <f ca="1">IFERROR(__xludf.DUMMYFUNCTION("""COMPUTED_VALUE"""),"Demo")</f>
        <v>Demo</v>
      </c>
      <c r="G2" s="6" t="s">
        <v>17</v>
      </c>
      <c r="H2" s="2" t="str">
        <f ca="1">IFERROR(__xludf.DUMMYFUNCTION("""COMPUTED_VALUE"""),"POSTER HALL")</f>
        <v>POSTER HALL</v>
      </c>
      <c r="I2" t="s">
        <v>29</v>
      </c>
      <c r="J2" s="2" t="str">
        <f ca="1">IFERROR(__xludf.DUMMYFUNCTION("""COMPUTED_VALUE"""),"Fri. Mar 27")</f>
        <v>Fri. Mar 27</v>
      </c>
      <c r="K2" s="2" t="str">
        <f ca="1">IFERROR(__xludf.DUMMYFUNCTION("""COMPUTED_VALUE"""),"09:00-10:30")</f>
        <v>09:00-10:30</v>
      </c>
      <c r="L2" s="2"/>
    </row>
    <row r="3" spans="1:12" ht="15.75" customHeight="1" x14ac:dyDescent="0.15">
      <c r="A3" s="2" t="str">
        <f ca="1">IFERROR(__xludf.DUMMYFUNCTION("""COMPUTED_VALUE"""),"124-DEMO")</f>
        <v>124-DEMO</v>
      </c>
      <c r="B3" s="2" t="str">
        <f ca="1">IFERROR(__xludf.DUMMYFUNCTION("""COMPUTED_VALUE"""),"ESG-KG: A Multi-modal Knowledge Graph System for Automated Compliance Assessment")</f>
        <v>ESG-KG: A Multi-modal Knowledge Graph System for Automated Compliance Assessment</v>
      </c>
      <c r="C3" s="2" t="str">
        <f ca="1">IFERROR(__xludf.DUMMYFUNCTION("""COMPUTED_VALUE"""),"Our system is built upon a multi-modal information extraction pipeline designed to process and interpret corporate sustainability reports. This integrated framework systematically handles diverse data formats—including text, tables, figures, and infograph"&amp;"ics—to extract, structure, and evaluate ESG-related content. The extracted multi-modal data is subsequently formalized into a structured knowledge graph (KG), which serves as both a semantic framework for representing entities, relationships, and metrics "&amp;"relevant to ESG domains, and as the foundational infrastructure for the automated compliance system. This KG enables high-precision retrieval of information across multiple source formats and reporting modalities. The trustworthy, context-rich representat"&amp;"ions provided by the knowledge graph establish a verifiable evidence base, creating a critical foundation for reliable retrieval-augmented generation (RAG) and subsequent LLM-based scoring and analysis of automatic ESG compliance system.")</f>
        <v>Our system is built upon a multi-modal information extraction pipeline designed to process and interpret corporate sustainability reports. This integrated framework systematically handles diverse data formats—including text, tables, figures, and infographics—to extract, structure, and evaluate ESG-related content. The extracted multi-modal data is subsequently formalized into a structured knowledge graph (KG), which serves as both a semantic framework for representing entities, relationships, and metrics relevant to ESG domains, and as the foundational infrastructure for the automated compliance system. This KG enables high-precision retrieval of information across multiple source formats and reporting modalities. The trustworthy, context-rich representations provided by the knowledge graph establish a verifiable evidence base, creating a critical foundation for reliable retrieval-augmented generation (RAG) and subsequent LLM-based scoring and analysis of automatic ESG compliance system.</v>
      </c>
      <c r="D3" s="2" t="str">
        <f ca="1">IFERROR(__xludf.DUMMYFUNCTION("""COMPUTED_VALUE"""),"Li-Yang Chang, Chih-Ming Chen, Hen-Hsen Huang, An-Zi Yen, Chuan-Ju Wang, Ming-Feng Tsai")</f>
        <v>Li-Yang Chang, Chih-Ming Chen, Hen-Hsen Huang, An-Zi Yen, Chuan-Ju Wang, Ming-Feng Tsai</v>
      </c>
      <c r="E3" s="2" t="str">
        <f ca="1">IFERROR(__xludf.DUMMYFUNCTION("""COMPUTED_VALUE"""),"Li-Yang, Chang")</f>
        <v>Li-Yang, Chang</v>
      </c>
      <c r="F3" s="2" t="str">
        <f ca="1">IFERROR(__xludf.DUMMYFUNCTION("""COMPUTED_VALUE"""),"Demo")</f>
        <v>Demo</v>
      </c>
      <c r="G3" s="6" t="s">
        <v>17</v>
      </c>
      <c r="H3" s="2" t="str">
        <f ca="1">IFERROR(__xludf.DUMMYFUNCTION("""COMPUTED_VALUE"""),"POSTER HALL")</f>
        <v>POSTER HALL</v>
      </c>
      <c r="I3" t="s">
        <v>29</v>
      </c>
      <c r="J3" s="2" t="str">
        <f ca="1">IFERROR(__xludf.DUMMYFUNCTION("""COMPUTED_VALUE"""),"Fri. Mar 27")</f>
        <v>Fri. Mar 27</v>
      </c>
      <c r="K3" s="2" t="str">
        <f ca="1">IFERROR(__xludf.DUMMYFUNCTION("""COMPUTED_VALUE"""),"09:00-10:30")</f>
        <v>09:00-10:30</v>
      </c>
      <c r="L3" s="2"/>
    </row>
    <row r="4" spans="1:12" ht="15.75" customHeight="1" x14ac:dyDescent="0.15">
      <c r="A4" s="2" t="str">
        <f ca="1">IFERROR(__xludf.DUMMYFUNCTION("""COMPUTED_VALUE"""),"52-DEMO")</f>
        <v>52-DEMO</v>
      </c>
      <c r="B4" s="2" t="str">
        <f ca="1">IFERROR(__xludf.DUMMYFUNCTION("""COMPUTED_VALUE"""),"IntelliCode: A Multi-Agent LLM Tutoring System with Centralized Learner Modeling")</f>
        <v>IntelliCode: A Multi-Agent LLM Tutoring System with Centralized Learner Modeling</v>
      </c>
      <c r="C4" s="2" t="str">
        <f ca="1">IFERROR(__xludf.DUMMYFUNCTION("""COMPUTED_VALUE"""),"LLM-based tutors are typically single-turn assistants that lack persistent representations of learner knowledge, making it difficult to provide principled, transparent, and long-term pedagogical support. We introduce IntelliCode, a multi-agent LLM tutorin"&amp;"g system built around a centralized, versioned learner state that integrates mastery estimates, misconceptions, review schedules, and engagement signals. A StateGraph Orchestrator coordinates six specialized agents: skill assessment, learner profiling, gr"&amp;"aduated hinting, curriculum selection, spaced repetition, and engagement monitoring, each operating as a pure transformation over the shared state under a single-writer policy. This architecture enables auditable mastery updates, proficiency-aware hints, "&amp;"dependency-aware curriculum adaptation, and safety-aligned prompting.
 The demo showcases an end-to-end tutoring workflow: a learner attempts a DSA problem, receives a conceptual hint when stuck, submits a corrected solution, and immediately sees maste"&amp;"ry updates and a personalized review interval. We report validation results with simulated learners, showing stable state updates, improved task success with graduated hints, and diverse curriculum coverage. IntelliCode demonstrates how persistent learner"&amp;" modeling, orchestrated multi-agent reasoning, and principled instructional design can be combined to produce transparent and reliable LLM-driven tutoring.")</f>
        <v>LLM-based tutors are typically single-turn assistants that lack persistent representations of learner knowledge, making it difficult to provide principled, transparent, and long-term pedagogical support. We introduce IntelliCode, a multi-agent LLM tutoring system built around a centralized, versioned learner state that integrates mastery estimates, misconceptions, review schedules, and engagement signals. A StateGraph Orchestrator coordinates six specialized agents: skill assessment, learner profiling, graduated hinting, curriculum selection, spaced repetition, and engagement monitoring, each operating as a pure transformation over the shared state under a single-writer policy. This architecture enables auditable mastery updates, proficiency-aware hints, dependency-aware curriculum adaptation, and safety-aligned prompting.
 The demo showcases an end-to-end tutoring workflow: a learner attempts a DSA problem, receives a conceptual hint when stuck, submits a corrected solution, and immediately sees mastery updates and a personalized review interval. We report validation results with simulated learners, showing stable state updates, improved task success with graduated hints, and diverse curriculum coverage. IntelliCode demonstrates how persistent learner modeling, orchestrated multi-agent reasoning, and principled instructional design can be combined to produce transparent and reliable LLM-driven tutoring.</v>
      </c>
      <c r="D4" s="2" t="str">
        <f ca="1">IFERROR(__xludf.DUMMYFUNCTION("""COMPUTED_VALUE"""),"Jones David, Shreya Ghosh")</f>
        <v>Jones David, Shreya Ghosh</v>
      </c>
      <c r="E4" s="2" t="str">
        <f ca="1">IFERROR(__xludf.DUMMYFUNCTION("""COMPUTED_VALUE"""),"Jones David")</f>
        <v>Jones David</v>
      </c>
      <c r="F4" s="2" t="str">
        <f ca="1">IFERROR(__xludf.DUMMYFUNCTION("""COMPUTED_VALUE"""),"Demo")</f>
        <v>Demo</v>
      </c>
      <c r="G4" s="6" t="s">
        <v>17</v>
      </c>
      <c r="H4" s="2" t="str">
        <f ca="1">IFERROR(__xludf.DUMMYFUNCTION("""COMPUTED_VALUE"""),"POSTER HALL")</f>
        <v>POSTER HALL</v>
      </c>
      <c r="I4" t="s">
        <v>29</v>
      </c>
      <c r="J4" s="2" t="str">
        <f ca="1">IFERROR(__xludf.DUMMYFUNCTION("""COMPUTED_VALUE"""),"Fri. Mar 27")</f>
        <v>Fri. Mar 27</v>
      </c>
      <c r="K4" s="2" t="str">
        <f ca="1">IFERROR(__xludf.DUMMYFUNCTION("""COMPUTED_VALUE"""),"09:00-10:30")</f>
        <v>09:00-10:30</v>
      </c>
      <c r="L4" s="2"/>
    </row>
    <row r="5" spans="1:12" ht="15.75" customHeight="1" x14ac:dyDescent="0.15">
      <c r="A5" s="2" t="str">
        <f ca="1">IFERROR(__xludf.DUMMYFUNCTION("""COMPUTED_VALUE"""),"63-DEMO")</f>
        <v>63-DEMO</v>
      </c>
      <c r="B5" s="2" t="str">
        <f ca="1">IFERROR(__xludf.DUMMYFUNCTION("""COMPUTED_VALUE"""),"A Browser-based Open Source Assistant for Multimodal Content Verification")</f>
        <v>A Browser-based Open Source Assistant for Multimodal Content Verification</v>
      </c>
      <c r="C5" s="2" t="str">
        <f ca="1">IFERROR(__xludf.DUMMYFUNCTION("""COMPUTED_VALUE"""),"Disinformation and advanced generative AI content pose a significant challenge for journalists and fact-checkers who must rapidly verify digital media. While many NLP models exist for detecting signals like persuasion techniques, subjectivity, and AI-gene"&amp;"rated text, they often remain inaccessible to non-expert users and are not integrated into their daily workflows as a unified framework. This paper demonstrates the Verification Assistant, a browser-based tool designed to bridge this gap. The Verification"&amp;" Assistant, a core component of the widely adopted Verification Plugin (140,000+ users), allows users to submit URLs or media files to a unified interface. It automatically extracts content and routes it to a suite of backend NLP classifiers, presenting a"&amp;"ctionable credibility signals, AI-generation likelihood, and other verification advice in an easy-to-digest format. This paper will showcase the tool's architecture, its integration of multiple NLP services, and its real-world application for detecting di"&amp;"sinformation.")</f>
        <v>Disinformation and advanced generative AI content pose a significant challenge for journalists and fact-checkers who must rapidly verify digital media. While many NLP models exist for detecting signals like persuasion techniques, subjectivity, and AI-generated text, they often remain inaccessible to non-expert users and are not integrated into their daily workflows as a unified framework. This paper demonstrates the Verification Assistant, a browser-based tool designed to bridge this gap. The Verification Assistant, a core component of the widely adopted Verification Plugin (140,000+ users), allows users to submit URLs or media files to a unified interface. It automatically extracts content and routes it to a suite of backend NLP classifiers, presenting actionable credibility signals, AI-generation likelihood, and other verification advice in an easy-to-digest format. This paper will showcase the tool's architecture, its integration of multiple NLP services, and its real-world application for detecting disinformation.</v>
      </c>
      <c r="D5" s="2" t="str">
        <f ca="1">IFERROR(__xludf.DUMMYFUNCTION("""COMPUTED_VALUE"""),"Rosanna Milner, Michael Foster, Olesya Razuvayevskaya, Valentin Porcellini, Denis Teyssou, Ian Roberts, Kalina Bontcheva")</f>
        <v>Rosanna Milner, Michael Foster, Olesya Razuvayevskaya, Valentin Porcellini, Denis Teyssou, Ian Roberts, Kalina Bontcheva</v>
      </c>
      <c r="E5" s="2" t="str">
        <f ca="1">IFERROR(__xludf.DUMMYFUNCTION("""COMPUTED_VALUE"""),"Rosanna Milner")</f>
        <v>Rosanna Milner</v>
      </c>
      <c r="F5" s="2" t="str">
        <f ca="1">IFERROR(__xludf.DUMMYFUNCTION("""COMPUTED_VALUE"""),"Demo")</f>
        <v>Demo</v>
      </c>
      <c r="G5" s="6" t="s">
        <v>17</v>
      </c>
      <c r="H5" s="2" t="str">
        <f ca="1">IFERROR(__xludf.DUMMYFUNCTION("""COMPUTED_VALUE"""),"POSTER HALL")</f>
        <v>POSTER HALL</v>
      </c>
      <c r="I5" t="s">
        <v>29</v>
      </c>
      <c r="J5" s="2" t="str">
        <f ca="1">IFERROR(__xludf.DUMMYFUNCTION("""COMPUTED_VALUE"""),"Fri. Mar 27")</f>
        <v>Fri. Mar 27</v>
      </c>
      <c r="K5" s="2" t="str">
        <f ca="1">IFERROR(__xludf.DUMMYFUNCTION("""COMPUTED_VALUE"""),"09:00-10:30")</f>
        <v>09:00-10:30</v>
      </c>
      <c r="L5" s="2"/>
    </row>
    <row r="6" spans="1:12" ht="15.75" customHeight="1" x14ac:dyDescent="0.15">
      <c r="A6" s="2" t="str">
        <f ca="1">IFERROR(__xludf.DUMMYFUNCTION("""COMPUTED_VALUE"""),"69-DEMO")</f>
        <v>69-DEMO</v>
      </c>
      <c r="B6" s="2" t="str">
        <f ca="1">IFERROR(__xludf.DUMMYFUNCTION("""COMPUTED_VALUE"""),"PEFT-Factory: Unified Parameter-Efficient Fine-Tuning of Autoregressive Large Language Models")</f>
        <v>PEFT-Factory: Unified Parameter-Efficient Fine-Tuning of Autoregressive Large Language Models</v>
      </c>
      <c r="C6" s="2" t="str">
        <f ca="1">IFERROR(__xludf.DUMMYFUNCTION("""COMPUTED_VALUE"""),"Parameter-Efficient Fine-Tuning (PEFT) methods address the increasing size of Large Language Models (LLMs). Currently, many newly introduced PEFT methods are challenging to replicate, deploy, or compare with one another. To address this, we introduce PEFT"&amp;"-Factory, a unified framework for efficient fine-tuning LLMs using both off-the-shelf and custom PEFT methods. While its modular design supports extensibility, it natively provides a representative set of 19 PEFT methods, 27 classification and text genera"&amp;"tion datasets addressing 12 tasks, and both standard and PEFT-specific evaluation metrics. As a result, PEFT-Factory provides a ready-to-use, controlled, and stable environment, improving replicability and benchmarking of PEFT methods. PEFT-Factory is a d"&amp;"ownstream framework that originates from the popular LLaMA-Factory, and is publicly available at https://github.com/kinit-sk/PEFT-Factory.")</f>
        <v>Parameter-Efficient Fine-Tuning (PEFT) methods address the increasing size of Large Language Models (LLMs). Currently, many newly introduced PEFT methods are challenging to replicate, deploy, or compare with one another. To address this, we introduce PEFT-Factory, a unified framework for efficient fine-tuning LLMs using both off-the-shelf and custom PEFT methods. While its modular design supports extensibility, it natively provides a representative set of 19 PEFT methods, 27 classification and text generation datasets addressing 12 tasks, and both standard and PEFT-specific evaluation metrics. As a result, PEFT-Factory provides a ready-to-use, controlled, and stable environment, improving replicability and benchmarking of PEFT methods. PEFT-Factory is a downstream framework that originates from the popular LLaMA-Factory, and is publicly available at https://github.com/kinit-sk/PEFT-Factory.</v>
      </c>
      <c r="D6" s="2" t="str">
        <f ca="1">IFERROR(__xludf.DUMMYFUNCTION("""COMPUTED_VALUE"""),"Robert Belanec, Ivan Srba, Maria Bielikova")</f>
        <v>Robert Belanec, Ivan Srba, Maria Bielikova</v>
      </c>
      <c r="E6" s="2" t="str">
        <f ca="1">IFERROR(__xludf.DUMMYFUNCTION("""COMPUTED_VALUE"""),"Robert Belanec")</f>
        <v>Robert Belanec</v>
      </c>
      <c r="F6" s="2" t="str">
        <f ca="1">IFERROR(__xludf.DUMMYFUNCTION("""COMPUTED_VALUE"""),"Demo")</f>
        <v>Demo</v>
      </c>
      <c r="G6" s="6" t="s">
        <v>17</v>
      </c>
      <c r="H6" s="2" t="str">
        <f ca="1">IFERROR(__xludf.DUMMYFUNCTION("""COMPUTED_VALUE"""),"POSTER HALL")</f>
        <v>POSTER HALL</v>
      </c>
      <c r="I6" t="s">
        <v>29</v>
      </c>
      <c r="J6" s="2" t="str">
        <f ca="1">IFERROR(__xludf.DUMMYFUNCTION("""COMPUTED_VALUE"""),"Fri. Mar 27")</f>
        <v>Fri. Mar 27</v>
      </c>
      <c r="K6" s="2" t="str">
        <f ca="1">IFERROR(__xludf.DUMMYFUNCTION("""COMPUTED_VALUE"""),"09:00-10:30")</f>
        <v>09:00-10:30</v>
      </c>
      <c r="L6" s="2"/>
    </row>
    <row r="7" spans="1:12" ht="15.75" customHeight="1" x14ac:dyDescent="0.15">
      <c r="A7" s="2" t="str">
        <f ca="1">IFERROR(__xludf.DUMMYFUNCTION("""COMPUTED_VALUE"""),"90-DEMO")</f>
        <v>90-DEMO</v>
      </c>
      <c r="B7" s="2" t="str">
        <f ca="1">IFERROR(__xludf.DUMMYFUNCTION("""COMPUTED_VALUE"""),"Trove: A Flexible Toolkit for Dense Retrieval")</f>
        <v>Trove: A Flexible Toolkit for Dense Retrieval</v>
      </c>
      <c r="C7" s="2" t="str">
        <f ca="1">IFERROR(__xludf.DUMMYFUNCTION("""COMPUTED_VALUE"""),"We introduce Trove, an easy-to-use open-source retrieval toolkit that simplifies research experiments without sacrificing flexibility or speed. For the first time, we introduce efficient data management features that load and process (filter, select, tran"&amp;"sform, and combine) retrieval datasets on the fly, with just a few lines of code. This gives users the flexibility to easily experiment with different dataset configurations without the need to compute and store multiple copies of large datasets. Trove is"&amp;" highly customizable: in addition to many built-in options, it allows users to freely modify existing components or replace them entirely with user-defined objects. It also provides a low-code and unified pipeline for evaluation and hard negative mining, "&amp;"which supports multi-node execution without any code changes. Trove's data management features reduce memory consumption by a factor of 2.6. Moreover, Trove's easy-to-use inference pipeline incurs no overhead, and inference times decrease linearly with th"&amp;"e number of available nodes. Most importantly, we demonstrate how Trove simplifies retrieval experiments and allows for arbitrary customizations, thus facilitating exploratory research.")</f>
        <v>We introduce Trove, an easy-to-use open-source retrieval toolkit that simplifies research experiments without sacrificing flexibility or speed. For the first time, we introduce efficient data management features that load and process (filter, select, transform, and combine) retrieval datasets on the fly, with just a few lines of code. This gives users the flexibility to easily experiment with different dataset configurations without the need to compute and store multiple copies of large datasets. Trove is highly customizable: in addition to many built-in options, it allows users to freely modify existing components or replace them entirely with user-defined objects. It also provides a low-code and unified pipeline for evaluation and hard negative mining, which supports multi-node execution without any code changes. Trove's data management features reduce memory consumption by a factor of 2.6. Moreover, Trove's easy-to-use inference pipeline incurs no overhead, and inference times decrease linearly with the number of available nodes. Most importantly, we demonstrate how Trove simplifies retrieval experiments and allows for arbitrary customizations, thus facilitating exploratory research.</v>
      </c>
      <c r="D7" s="2" t="str">
        <f ca="1">IFERROR(__xludf.DUMMYFUNCTION("""COMPUTED_VALUE"""),"Reza Esfandiarpoor, Max Zuo, Stephen H. Bach")</f>
        <v>Reza Esfandiarpoor, Max Zuo, Stephen H. Bach</v>
      </c>
      <c r="E7" s="2" t="str">
        <f ca="1">IFERROR(__xludf.DUMMYFUNCTION("""COMPUTED_VALUE"""),"Max Zuo")</f>
        <v>Max Zuo</v>
      </c>
      <c r="F7" s="2" t="str">
        <f ca="1">IFERROR(__xludf.DUMMYFUNCTION("""COMPUTED_VALUE"""),"Demo")</f>
        <v>Demo</v>
      </c>
      <c r="G7" s="6" t="s">
        <v>17</v>
      </c>
      <c r="H7" s="2" t="str">
        <f ca="1">IFERROR(__xludf.DUMMYFUNCTION("""COMPUTED_VALUE"""),"POSTER HALL")</f>
        <v>POSTER HALL</v>
      </c>
      <c r="I7" t="s">
        <v>29</v>
      </c>
      <c r="J7" s="2" t="str">
        <f ca="1">IFERROR(__xludf.DUMMYFUNCTION("""COMPUTED_VALUE"""),"Fri. Mar 27")</f>
        <v>Fri. Mar 27</v>
      </c>
      <c r="K7" s="2" t="str">
        <f ca="1">IFERROR(__xludf.DUMMYFUNCTION("""COMPUTED_VALUE"""),"09:00-10:30")</f>
        <v>09:00-10:30</v>
      </c>
      <c r="L7" s="2"/>
    </row>
    <row r="8" spans="1:12" ht="15.75" customHeight="1" x14ac:dyDescent="0.15">
      <c r="A8" s="6" t="str">
        <f ca="1">IFERROR(__xludf.DUMMYFUNCTION("""COMPUTED_VALUE"""),"99-DEMO")</f>
        <v>99-DEMO</v>
      </c>
      <c r="B8" s="6" t="str">
        <f ca="1">IFERROR(__xludf.DUMMYFUNCTION("""COMPUTED_VALUE"""),"XLM: A Python package for non-autoregressive language models")</f>
        <v>XLM: A Python package for non-autoregressive language models</v>
      </c>
      <c r="C8" s="6" t="str">
        <f ca="1">IFERROR(__xludf.DUMMYFUNCTION("""COMPUTED_VALUE"""),"In recent years, there has been a resurgence of interest in non-autoregressive text generation in the context of general language modeling. 
 Unlike the well-established autoregressive language modeling paradigm, which has a plethora of standard training "&amp;"and inference libraries, implementations of non-autoregressive language modeling have largely been bespoke making it difficult to perform systematic comparisons of different methods. Moreover, each non-autoregressive language model typically requires it o"&amp;"wn data collation, loss, and prediction logic, making it challenging to reuse common components. In this work, we present the XLM python package, which is designed to make implementing small non-autoregressive language models faster with a secondary goal "&amp;"of providing a suite of small pre-trained models (through a companion \texttt{xlm-models} package) that can be used by the research community.")</f>
        <v>In recent years, there has been a resurgence of interest in non-autoregressive text generation in the context of general language modeling. 
 Unlike the well-established autoregressive language modeling paradigm, which has a plethora of standard training and inference libraries, implementations of non-autoregressive language modeling have largely been bespoke making it difficult to perform systematic comparisons of different methods. Moreover, each non-autoregressive language model typically requires it own data collation, loss, and prediction logic, making it challenging to reuse common components. In this work, we present the XLM python package, which is designed to make implementing small non-autoregressive language models faster with a secondary goal of providing a suite of small pre-trained models (through a companion \texttt{xlm-models} package) that can be used by the research community.</v>
      </c>
      <c r="D8" s="6" t="str">
        <f ca="1">IFERROR(__xludf.DUMMYFUNCTION("""COMPUTED_VALUE"""),"Dhruvesh Patel, Durga Prasad Maram, Sai Sreenivas Chintha, Benjamin Rozonoyer, Andrew McCallum")</f>
        <v>Dhruvesh Patel, Durga Prasad Maram, Sai Sreenivas Chintha, Benjamin Rozonoyer, Andrew McCallum</v>
      </c>
      <c r="E8" s="6" t="str">
        <f ca="1">IFERROR(__xludf.DUMMYFUNCTION("""COMPUTED_VALUE"""),"Durga Prasad Maram")</f>
        <v>Durga Prasad Maram</v>
      </c>
      <c r="F8" s="6" t="str">
        <f ca="1">IFERROR(__xludf.DUMMYFUNCTION("""COMPUTED_VALUE"""),"Demo")</f>
        <v>Demo</v>
      </c>
      <c r="G8" s="6" t="s">
        <v>17</v>
      </c>
      <c r="H8" s="6" t="str">
        <f ca="1">IFERROR(__xludf.DUMMYFUNCTION("""COMPUTED_VALUE"""),"POSTER HALL")</f>
        <v>POSTER HALL</v>
      </c>
      <c r="I8" t="s">
        <v>29</v>
      </c>
      <c r="J8" s="6" t="str">
        <f ca="1">IFERROR(__xludf.DUMMYFUNCTION("""COMPUTED_VALUE"""),"Fri. Mar 27")</f>
        <v>Fri. Mar 27</v>
      </c>
      <c r="K8" s="6" t="str">
        <f ca="1">IFERROR(__xludf.DUMMYFUNCTION("""COMPUTED_VALUE"""),"09:00-10:30")</f>
        <v>09:00-10:30</v>
      </c>
      <c r="L8" s="6"/>
    </row>
    <row r="9" spans="1:12" ht="15.75" customHeight="1" x14ac:dyDescent="0.15">
      <c r="A9" s="2" t="str">
        <f ca="1">IFERROR(__xludf.DUMMYFUNCTION("""COMPUTED_VALUE"""),"108-DEMO")</f>
        <v>108-DEMO</v>
      </c>
      <c r="B9" s="2" t="str">
        <f ca="1">IFERROR(__xludf.DUMMYFUNCTION("""COMPUTED_VALUE"""),"RAGVUE: A Diagnostic View for Explainable and Automated Evaluation of Retrieval-Augmented Generation")</f>
        <v>RAGVUE: A Diagnostic View for Explainable and Automated Evaluation of Retrieval-Augmented Generation</v>
      </c>
      <c r="C9" s="2" t="str">
        <f ca="1">IFERROR(__xludf.DUMMYFUNCTION("""COMPUTED_VALUE"""),"Evaluating Retrieval-Augmented Generation
 (RAG) systems remains a challenging task: existing
 metrics often collapse heterogeneous behaviors
 into single scores and provide little insight
 into whether errors arise from retrieval,
 reasoning, or groundin"&amp;"g. In this paper, we introduce
 RAGVUE, a diagnostic and explainable
 framework for automated, reference-free
 evaluation of RAG pipelines. RAGVUE decomposes
 RAG behavior into retrieval quality,
 answer relevance and completeness, strict
 claim-level fai"&amp;"thfulness, and judge calibration.
 Each metric includes a structured explanation,
 making the evaluation process transparent. Our
 framework supports both manual metric selection
 and fully automated agentic evaluation. It
 also provides a Python API, CLI"&amp;", and a local
 Streamlit interface for interactive usage. In
 comparative experiments, RAGVUE surfaces
 fine-grained failures that existing tools such
 as RAGAS often overlook. We showcase the
 full RAGVUE workflow and illustrate how it
 can be integrated"&amp;" into research pipelines and
 practical RAG development. The source code
 and detailed instructions on usage are publicly
 available on Github.")</f>
        <v>Evaluating Retrieval-Augmented Generation
 (RAG) systems remains a challenging task: existing
 metrics often collapse heterogeneous behaviors
 into single scores and provide little insight
 into whether errors arise from retrieval,
 reasoning, or grounding. In this paper, we introduce
 RAGVUE, a diagnostic and explainable
 framework for automated, reference-free
 evaluation of RAG pipelines. RAGVUE decomposes
 RAG behavior into retrieval quality,
 answer relevance and completeness, strict
 claim-level faithfulness, and judge calibration.
 Each metric includes a structured explanation,
 making the evaluation process transparent. Our
 framework supports both manual metric selection
 and fully automated agentic evaluation. It
 also provides a Python API, CLI, and a local
 Streamlit interface for interactive usage. In
 comparative experiments, RAGVUE surfaces
 fine-grained failures that existing tools such
 as RAGAS often overlook. We showcase the
 full RAGVUE workflow and illustrate how it
 can be integrated into research pipelines and
 practical RAG development. The source code
 and detailed instructions on usage are publicly
 available on Github.</v>
      </c>
      <c r="D9" s="2" t="str">
        <f ca="1">IFERROR(__xludf.DUMMYFUNCTION("""COMPUTED_VALUE"""),"Keerthana Murugaraj, Salima Lamsiyah , Martin Theobald")</f>
        <v>Keerthana Murugaraj, Salima Lamsiyah , Martin Theobald</v>
      </c>
      <c r="E9" s="2" t="str">
        <f ca="1">IFERROR(__xludf.DUMMYFUNCTION("""COMPUTED_VALUE"""),"Keerthana Murugaraj")</f>
        <v>Keerthana Murugaraj</v>
      </c>
      <c r="F9" s="2" t="str">
        <f ca="1">IFERROR(__xludf.DUMMYFUNCTION("""COMPUTED_VALUE"""),"Demo")</f>
        <v>Demo</v>
      </c>
      <c r="G9" s="6" t="s">
        <v>17</v>
      </c>
      <c r="H9" s="2" t="str">
        <f ca="1">IFERROR(__xludf.DUMMYFUNCTION("""COMPUTED_VALUE"""),"POSTER HALL")</f>
        <v>POSTER HALL</v>
      </c>
      <c r="I9" t="s">
        <v>43</v>
      </c>
      <c r="J9" s="2" t="str">
        <f ca="1">IFERROR(__xludf.DUMMYFUNCTION("""COMPUTED_VALUE"""),"Fri. Mar 27")</f>
        <v>Fri. Mar 27</v>
      </c>
      <c r="K9" s="2" t="str">
        <f ca="1">IFERROR(__xludf.DUMMYFUNCTION("""COMPUTED_VALUE"""),"11:00-12:30")</f>
        <v>11:00-12:30</v>
      </c>
      <c r="L9" s="2"/>
    </row>
    <row r="10" spans="1:12" ht="15.75" customHeight="1" x14ac:dyDescent="0.15">
      <c r="A10" s="2" t="str">
        <f ca="1">IFERROR(__xludf.DUMMYFUNCTION("""COMPUTED_VALUE"""),"42-DEMO")</f>
        <v>42-DEMO</v>
      </c>
      <c r="B10" s="2" t="str">
        <f ca="1">IFERROR(__xludf.DUMMYFUNCTION("""COMPUTED_VALUE"""),"DELTA: A Unified Framework for Measuring Linguistic Diversity in Dependency-Parsed Corpora")</f>
        <v>DELTA: A Unified Framework for Measuring Linguistic Diversity in Dependency-Parsed Corpora</v>
      </c>
      <c r="C10" s="2" t="str">
        <f ca="1">IFERROR(__xludf.DUMMYFUNCTION("""COMPUTED_VALUE"""),"Despite growing interest in measuring linguistic diversity on the one hand and the increasing availability of cross-linguistically comparable parsed corpora on the other, tools for systematically measuring the diversity of specific linguistic phenomena on"&amp;" such data remain limited. To address this gap, we present DELTA, an open-source framework that integrates dependency tree querying with diversity computation, enabling systematic measurement across multiple linguistic levels (lexis, morphology, syntax) a"&amp;"nd multiple diversity dimensions (variety, balance, disparity). The pipeline processes CoNLL-U formatted corpora through configurable workflows and supports both predefined configurations and flexible customization. We validate DELTA on Parallel Universal"&amp;" Dependencies multilingual dataset, demonstrating its capacity for corpus profiling and cross-corpus diversity comparison.")</f>
        <v>Despite growing interest in measuring linguistic diversity on the one hand and the increasing availability of cross-linguistically comparable parsed corpora on the other, tools for systematically measuring the diversity of specific linguistic phenomena on such data remain limited. To address this gap, we present DELTA, an open-source framework that integrates dependency tree querying with diversity computation, enabling systematic measurement across multiple linguistic levels (lexis, morphology, syntax) and multiple diversity dimensions (variety, balance, disparity). The pipeline processes CoNLL-U formatted corpora through configurable workflows and supports both predefined configurations and flexible customization. We validate DELTA on Parallel Universal Dependencies multilingual dataset, demonstrating its capacity for corpus profiling and cross-corpus diversity comparison.</v>
      </c>
      <c r="D10" s="2" t="str">
        <f ca="1">IFERROR(__xludf.DUMMYFUNCTION("""COMPUTED_VALUE"""),"Louis Estève")</f>
        <v>Louis Estève</v>
      </c>
      <c r="E10" s="2" t="str">
        <f ca="1">IFERROR(__xludf.DUMMYFUNCTION("""COMPUTED_VALUE"""),"Louis Estève")</f>
        <v>Louis Estève</v>
      </c>
      <c r="F10" s="2" t="str">
        <f ca="1">IFERROR(__xludf.DUMMYFUNCTION("""COMPUTED_VALUE"""),"Demo")</f>
        <v>Demo</v>
      </c>
      <c r="G10" s="6" t="s">
        <v>17</v>
      </c>
      <c r="H10" s="2" t="str">
        <f ca="1">IFERROR(__xludf.DUMMYFUNCTION("""COMPUTED_VALUE"""),"POSTER HALL")</f>
        <v>POSTER HALL</v>
      </c>
      <c r="I10" t="s">
        <v>43</v>
      </c>
      <c r="J10" s="2" t="str">
        <f ca="1">IFERROR(__xludf.DUMMYFUNCTION("""COMPUTED_VALUE"""),"Fri. Mar 27")</f>
        <v>Fri. Mar 27</v>
      </c>
      <c r="K10" s="2" t="str">
        <f ca="1">IFERROR(__xludf.DUMMYFUNCTION("""COMPUTED_VALUE"""),"11:00-12:30")</f>
        <v>11:00-12:30</v>
      </c>
      <c r="L10" s="2"/>
    </row>
    <row r="11" spans="1:12" ht="15.75" customHeight="1" x14ac:dyDescent="0.15">
      <c r="A11" s="2" t="str">
        <f ca="1">IFERROR(__xludf.DUMMYFUNCTION("""COMPUTED_VALUE"""),"43-DEMO")</f>
        <v>43-DEMO</v>
      </c>
      <c r="B11" s="2" t="str">
        <f ca="1">IFERROR(__xludf.DUMMYFUNCTION("""COMPUTED_VALUE"""),"CLARIESG: An End-to-End System for ESG Analysis over Complex Tables in Corporate Reports")</f>
        <v>CLARIESG: An End-to-End System for ESG Analysis over Complex Tables in Corporate Reports</v>
      </c>
      <c r="C11" s="2" t="str">
        <f ca="1">IFERROR(__xludf.DUMMYFUNCTION("""COMPUTED_VALUE"""),"Sustainability reports contain rich Environmental, Social and Governance (ESG) information, but their heterogeneous layouts and complex multi-table structures pose major challenges for LLMs, especially for unit normalization, cross-document reasoning, and"&amp;" precise numerical computation. We present CLARIESG, an end-to-end system that couples robust table extraction with a structured prompting framework for multi-table filtering, normalization, and program-of-thought reasoning. On ESG-focused multi-table ben"&amp;"chmarks, CLARIESG consistently outperforms standard prompting and provides transparent, auditable reasoning, supporting more reliable ESG analysis and greenwashing detection in real-world settings.")</f>
        <v>Sustainability reports contain rich Environmental, Social and Governance (ESG) information, but their heterogeneous layouts and complex multi-table structures pose major challenges for LLMs, especially for unit normalization, cross-document reasoning, and precise numerical computation. We present CLARIESG, an end-to-end system that couples robust table extraction with a structured prompting framework for multi-table filtering, normalization, and program-of-thought reasoning. On ESG-focused multi-table benchmarks, CLARIESG consistently outperforms standard prompting and provides transparent, auditable reasoning, supporting more reliable ESG analysis and greenwashing detection in real-world settings.</v>
      </c>
      <c r="D11" s="2" t="str">
        <f ca="1">IFERROR(__xludf.DUMMYFUNCTION("""COMPUTED_VALUE"""),"Marta Santacroce, Michele Luca Contalbo, Sara Pederzoli, Riccardo Benassi, Venturelli Valeria, Matteo Paganelli, Francesco Guerra")</f>
        <v>Marta Santacroce, Michele Luca Contalbo, Sara Pederzoli, Riccardo Benassi, Venturelli Valeria, Matteo Paganelli, Francesco Guerra</v>
      </c>
      <c r="E11" s="2" t="str">
        <f ca="1">IFERROR(__xludf.DUMMYFUNCTION("""COMPUTED_VALUE"""),"Matteo Paganelli")</f>
        <v>Matteo Paganelli</v>
      </c>
      <c r="F11" s="2" t="str">
        <f ca="1">IFERROR(__xludf.DUMMYFUNCTION("""COMPUTED_VALUE"""),"Demo")</f>
        <v>Demo</v>
      </c>
      <c r="G11" s="6" t="s">
        <v>17</v>
      </c>
      <c r="H11" s="2" t="str">
        <f ca="1">IFERROR(__xludf.DUMMYFUNCTION("""COMPUTED_VALUE"""),"POSTER HALL")</f>
        <v>POSTER HALL</v>
      </c>
      <c r="I11" t="s">
        <v>43</v>
      </c>
      <c r="J11" s="2" t="str">
        <f ca="1">IFERROR(__xludf.DUMMYFUNCTION("""COMPUTED_VALUE"""),"Fri. Mar 27")</f>
        <v>Fri. Mar 27</v>
      </c>
      <c r="K11" s="2" t="str">
        <f ca="1">IFERROR(__xludf.DUMMYFUNCTION("""COMPUTED_VALUE"""),"11:00-12:30")</f>
        <v>11:00-12:30</v>
      </c>
      <c r="L11" s="2"/>
    </row>
    <row r="12" spans="1:12" ht="15.75" hidden="1" customHeight="1" x14ac:dyDescent="0.15">
      <c r="A12" s="2" t="str">
        <f ca="1">IFERROR(__xludf.DUMMYFUNCTION("""COMPUTED_VALUE"""),"32-DEMO")</f>
        <v>32-DEMO</v>
      </c>
      <c r="B12" s="2" t="str">
        <f ca="1">IFERROR(__xludf.DUMMYFUNCTION("""COMPUTED_VALUE"""),"PropGenie: A Multi-Agent Conversational Framework for Real Estate Assistance")</f>
        <v>PropGenie: A Multi-Agent Conversational Framework for Real Estate Assistance</v>
      </c>
      <c r="C12" s="2" t="str">
        <f ca="1">IFERROR(__xludf.DUMMYFUNCTION("""COMPUTED_VALUE"""),"In this paper, we present PropGenie, a novel multi-agent framework based on large language models (LLMs) to deliver comprehensive real estate assistance in real-world scenarios. PropGenie coordinates eight specialized sub-agents, each tailored for distinc"&amp;"t tasks, including search and recommendation, question answering, financial calculations, and task execution. To enhance response accuracy and reliability, the system integrates diverse knowledge sources and advanced computational tools, leveraging struct"&amp;"ured, unstructured, and multimodal retrieval-augmented generation techniques. Experiments on real user queries show that PropGenie outperforms both a general-purpose LLM (OpenAI’s o3-mini-high) and a domain-specific chatbot (Realty AI's Madison) in real e"&amp;"state scenarios. We hope that PropGenie serves as a valuable reference for future research in broader AI-driven applications.")</f>
        <v>In this paper, we present PropGenie, a novel multi-agent framework based on large language models (LLMs) to deliver comprehensive real estate assistance in real-world scenarios. PropGenie coordinates eight specialized sub-agents, each tailored for distinct tasks, including search and recommendation, question answering, financial calculations, and task execution. To enhance response accuracy and reliability, the system integrates diverse knowledge sources and advanced computational tools, leveraging structured, unstructured, and multimodal retrieval-augmented generation techniques. Experiments on real user queries show that PropGenie outperforms both a general-purpose LLM (OpenAI’s o3-mini-high) and a domain-specific chatbot (Realty AI's Madison) in real estate scenarios. We hope that PropGenie serves as a valuable reference for future research in broader AI-driven applications.</v>
      </c>
      <c r="D12" s="2" t="str">
        <f ca="1">IFERROR(__xludf.DUMMYFUNCTION("""COMPUTED_VALUE"""),"Waiting on Survey")</f>
        <v>Waiting on Survey</v>
      </c>
      <c r="E12" s="2" t="str">
        <f ca="1">IFERROR(__xludf.DUMMYFUNCTION("""COMPUTED_VALUE"""),"Long Xu")</f>
        <v>Long Xu</v>
      </c>
      <c r="F12" s="2" t="str">
        <f ca="1">IFERROR(__xludf.DUMMYFUNCTION("""COMPUTED_VALUE"""),"Demo")</f>
        <v>Demo</v>
      </c>
      <c r="G12" s="6" t="s">
        <v>17</v>
      </c>
      <c r="H12" s="2" t="str">
        <f ca="1">IFERROR(__xludf.DUMMYFUNCTION("""COMPUTED_VALUE"""),"POSTER HALL")</f>
        <v>POSTER HALL</v>
      </c>
      <c r="I12" t="s">
        <v>50</v>
      </c>
      <c r="J12" s="2" t="str">
        <f ca="1">IFERROR(__xludf.DUMMYFUNCTION("""COMPUTED_VALUE"""),"Wed. Mar 25")</f>
        <v>Wed. Mar 25</v>
      </c>
      <c r="K12" s="2" t="str">
        <f ca="1">IFERROR(__xludf.DUMMYFUNCTION("""COMPUTED_VALUE"""),"11:30-13:00")</f>
        <v>11:30-13:00</v>
      </c>
      <c r="L12" s="2"/>
    </row>
    <row r="13" spans="1:12" ht="15.75" hidden="1" customHeight="1" x14ac:dyDescent="0.15">
      <c r="A13" s="2" t="str">
        <f ca="1">IFERROR(__xludf.DUMMYFUNCTION("""COMPUTED_VALUE"""),"68-DEMO")</f>
        <v>68-DEMO</v>
      </c>
      <c r="B13" s="2" t="str">
        <f ca="1">IFERROR(__xludf.DUMMYFUNCTION("""COMPUTED_VALUE"""),"BOOM: : Beyond Only One Modality KIT's Multimodal Multilingual Lecture Companion")</f>
        <v>BOOM: : Beyond Only One Modality KIT's Multimodal Multilingual Lecture Companion</v>
      </c>
      <c r="C13" s="2" t="str">
        <f ca="1">IFERROR(__xludf.DUMMYFUNCTION("""COMPUTED_VALUE"""),"The globalization of education and rapid growth of online learning have made localizing educational content a critical challenge. Lecture materials are inherently multimodal, combining spoken audio with visual slides, which requires systems capable of pro"&amp;"cessing multiple input modalities. To provide an accessible and complete learning experience, translations must preserve all modalities: text for reading, slides for visual understanding, and speech for auditory learning. We present \textbf{BOOM}, a multi"&amp;"modal multilingual lecture companion that jointly translates lecture audio and slides to produce synchronized outputs across three modalities: translated text, localized slides with preserved visual elements, and synthesized speech. This end-to-end approa"&amp;"ch enables students to access lectures in their native language while aiming to preserve the original content in its entirety. Our experiments demonstrate that slide-aware transcripts also yield cascading benefits for downstream tasks such as summarizatio"&amp;"n and question answering. We release our Slide Translation code at \url{https://github.com/saikoneru/image-translator} and integrate it in Lecture Translator at \url{https://gitlab.kit.edu/kit/isl-ai4lt/lt-middleware/ltpipeline}\footnote{All released code"&amp;" and models are licensed under the MIT License}.")</f>
        <v>The globalization of education and rapid growth of online learning have made localizing educational content a critical challenge. Lecture materials are inherently multimodal, combining spoken audio with visual slides, which requires systems capable of processing multiple input modalities. To provide an accessible and complete learning experience, translations must preserve all modalities: text for reading, slides for visual understanding, and speech for auditory learning. We present \textbf{BOOM}, a multimodal multilingual lecture companion that jointly translates lecture audio and slides to produce synchronized outputs across three modalities: translated text, localized slides with preserved visual elements, and synthesized speech. This end-to-end approach enables students to access lectures in their native language while aiming to preserve the original content in its entirety. Our experiments demonstrate that slide-aware transcripts also yield cascading benefits for downstream tasks such as summarization and question answering. We release our Slide Translation code at \url{https://github.com/saikoneru/image-translator} and integrate it in Lecture Translator at \url{https://gitlab.kit.edu/kit/isl-ai4lt/lt-middleware/ltpipeline}\footnote{All released code and models are licensed under the MIT License}.</v>
      </c>
      <c r="D13" s="2" t="str">
        <f ca="1">IFERROR(__xludf.DUMMYFUNCTION("""COMPUTED_VALUE"""),"Sai Koneru, Fabian Retkowski, Christian Huber, Lukas Hilgert, Seymanur Akti, Enes Yavuz Ugan, Alexander Waibel, Jan Niehues")</f>
        <v>Sai Koneru, Fabian Retkowski, Christian Huber, Lukas Hilgert, Seymanur Akti, Enes Yavuz Ugan, Alexander Waibel, Jan Niehues</v>
      </c>
      <c r="E13" s="2" t="str">
        <f ca="1">IFERROR(__xludf.DUMMYFUNCTION("""COMPUTED_VALUE"""),"Sai Arjun Koneru")</f>
        <v>Sai Arjun Koneru</v>
      </c>
      <c r="F13" s="2" t="str">
        <f ca="1">IFERROR(__xludf.DUMMYFUNCTION("""COMPUTED_VALUE"""),"Demo")</f>
        <v>Demo</v>
      </c>
      <c r="G13" s="6" t="s">
        <v>17</v>
      </c>
      <c r="H13" s="2" t="str">
        <f ca="1">IFERROR(__xludf.DUMMYFUNCTION("""COMPUTED_VALUE"""),"POSTER HALL")</f>
        <v>POSTER HALL</v>
      </c>
      <c r="I13" t="s">
        <v>50</v>
      </c>
      <c r="J13" s="2" t="str">
        <f ca="1">IFERROR(__xludf.DUMMYFUNCTION("""COMPUTED_VALUE"""),"Wed. Mar 25")</f>
        <v>Wed. Mar 25</v>
      </c>
      <c r="K13" s="2" t="str">
        <f ca="1">IFERROR(__xludf.DUMMYFUNCTION("""COMPUTED_VALUE"""),"11:30-13:00")</f>
        <v>11:30-13:00</v>
      </c>
      <c r="L13" s="2"/>
    </row>
    <row r="14" spans="1:12" ht="15.75" hidden="1" customHeight="1" x14ac:dyDescent="0.15">
      <c r="A14" s="2" t="str">
        <f ca="1">IFERROR(__xludf.DUMMYFUNCTION("""COMPUTED_VALUE"""),"72-DEMO")</f>
        <v>72-DEMO</v>
      </c>
      <c r="B14" s="2" t="str">
        <f ca="1">IFERROR(__xludf.DUMMYFUNCTION("""COMPUTED_VALUE"""),"AlignFix: A Tool for Parallel Corpora Augmentation and Refinement")</f>
        <v>AlignFix: A Tool for Parallel Corpora Augmentation and Refinement</v>
      </c>
      <c r="C14" s="2" t="str">
        <f ca="1">IFERROR(__xludf.DUMMYFUNCTION("""COMPUTED_VALUE"""),"High-quality datasets are crucial for training effective state of the art machine translation systems. However, due to the data-intensive nature of these systems, they have to be trained on large amounts of text that can easily go beyond the scope of full"&amp;" human inspection. This makes the presence of noisy data that can degrade overall system performance a frequent and significant issue. While various approaches have been developed to identify and select only the highest-quality training examples, this is "&amp;"undesirable in scenarios where resources are limited. For this reason, we introduce AlignFix, an open-source tool for augmenting data, identifying and correcting errors in parallel corpora. Leveraging word alignments, AlignFix extracts consistent phrase p"&amp;"airs, enabling targeted replacements that can improve the dataset quality. Besides targeted replacements, the tool enables contextual augmentation by duplicating sentences and allowing users to substitute words with alternatives of their choice. The tool "&amp;"maintains and updates the underlying word alignments, thereby avoiding the costly recomputation. AlignFix runs locally in the browser, requires no installation, and ensures that all data remains entirely on the client side. It is released under Apache 2.0"&amp;" license, encouraging broad adoption, reuse, and further development. A live demo is available at https://ifi-alignfix.uibk.ac.at.")</f>
        <v>High-quality datasets are crucial for training effective state of the art machine translation systems. However, due to the data-intensive nature of these systems, they have to be trained on large amounts of text that can easily go beyond the scope of full human inspection. This makes the presence of noisy data that can degrade overall system performance a frequent and significant issue. While various approaches have been developed to identify and select only the highest-quality training examples, this is undesirable in scenarios where resources are limited. For this reason, we introduce AlignFix, an open-source tool for augmenting data, identifying and correcting errors in parallel corpora. Leveraging word alignments, AlignFix extracts consistent phrase pairs, enabling targeted replacements that can improve the dataset quality. Besides targeted replacements, the tool enables contextual augmentation by duplicating sentences and allowing users to substitute words with alternatives of their choice. The tool maintains and updates the underlying word alignments, thereby avoiding the costly recomputation. AlignFix runs locally in the browser, requires no installation, and ensures that all data remains entirely on the client side. It is released under Apache 2.0 license, encouraging broad adoption, reuse, and further development. A live demo is available at https://ifi-alignfix.uibk.ac.at.</v>
      </c>
      <c r="D14" s="2" t="str">
        <f ca="1">IFERROR(__xludf.DUMMYFUNCTION("""COMPUTED_VALUE"""),"Samuel Frontull, Simon Haller-Seeber")</f>
        <v>Samuel Frontull, Simon Haller-Seeber</v>
      </c>
      <c r="E14" s="2" t="str">
        <f ca="1">IFERROR(__xludf.DUMMYFUNCTION("""COMPUTED_VALUE"""),"Samuel Frontull")</f>
        <v>Samuel Frontull</v>
      </c>
      <c r="F14" s="2" t="str">
        <f ca="1">IFERROR(__xludf.DUMMYFUNCTION("""COMPUTED_VALUE"""),"Demo")</f>
        <v>Demo</v>
      </c>
      <c r="G14" s="6" t="s">
        <v>17</v>
      </c>
      <c r="H14" s="2" t="str">
        <f ca="1">IFERROR(__xludf.DUMMYFUNCTION("""COMPUTED_VALUE"""),"POSTER HALL")</f>
        <v>POSTER HALL</v>
      </c>
      <c r="I14" t="s">
        <v>50</v>
      </c>
      <c r="J14" s="2" t="str">
        <f ca="1">IFERROR(__xludf.DUMMYFUNCTION("""COMPUTED_VALUE"""),"Wed. Mar 25")</f>
        <v>Wed. Mar 25</v>
      </c>
      <c r="K14" s="2" t="str">
        <f ca="1">IFERROR(__xludf.DUMMYFUNCTION("""COMPUTED_VALUE"""),"11:30-13:00")</f>
        <v>11:30-13:00</v>
      </c>
      <c r="L14" s="2"/>
    </row>
    <row r="15" spans="1:12" ht="15.75" hidden="1" customHeight="1" x14ac:dyDescent="0.15">
      <c r="A15" s="2" t="str">
        <f ca="1">IFERROR(__xludf.DUMMYFUNCTION("""COMPUTED_VALUE"""),"79-DEMO")</f>
        <v>79-DEMO</v>
      </c>
      <c r="B15" s="2" t="str">
        <f ca="1">IFERROR(__xludf.DUMMYFUNCTION("""COMPUTED_VALUE"""),"LLM BiasScope: A Real-Time Bias Analysis Platform for Comparative LLM Evaluation")</f>
        <v>LLM BiasScope: A Real-Time Bias Analysis Platform for Comparative LLM Evaluation</v>
      </c>
      <c r="C15" s="2" t="str">
        <f ca="1">IFERROR(__xludf.DUMMYFUNCTION("""COMPUTED_VALUE"""),"As large language models (LLMs) are deployed widely, detecting and understanding bias in their outputs is critical. We present LLM BiasScope, a web application for side-by-side comparison of LLM outputs with real-time bias analysis. The system supports mu"&amp;"ltiple providers (Google Gemini, DeepSeek, MiniMax, Mistral, Meituan, Meta Llama) and enables researchers and practitioners to compare models on the same prompts while analyzing bias patterns.
 LLM BiasScope uses a two-stage bias detection pipeline: sente"&amp;"nce-level bias detection followed by bias type classification for biased sentences. The analysis runs automatically on both user prompts and model responses, providing statistics, visualizations, and detailed breakdowns of bias types. The interface displa"&amp;"ys two models side-by-side with synchronized streaming responses, per-model bias summaries, and a comparison view highlighting differences in bias distributions.
 The system is built on Next.js with React, integrates Hugging Face inference endpoints for b"&amp;"ias detection, and uses the Vercel AI SDK for multi-provider LLM access. Features include real-time streaming, export to JSON/PDF, and interactive visualizations (bar charts, radar charts) for bias analysis. LLM BiasScope is available as an open-source we"&amp;"b application, providing a practical tool for bias evaluation and comparative analysis of LLM behaviour.")</f>
        <v>As large language models (LLMs) are deployed widely, detecting and understanding bias in their outputs is critical. We present LLM BiasScope, a web application for side-by-side comparison of LLM outputs with real-time bias analysis. The system supports multiple providers (Google Gemini, DeepSeek, MiniMax, Mistral, Meituan, Meta Llama) and enables researchers and practitioners to compare models on the same prompts while analyzing bias patterns.
 LLM BiasScope uses a two-stage bias detection pipeline: sentence-level bias detection followed by bias type classification for biased sentences. The analysis runs automatically on both user prompts and model responses, providing statistics, visualizations, and detailed breakdowns of bias types. The interface displays two models side-by-side with synchronized streaming responses, per-model bias summaries, and a comparison view highlighting differences in bias distributions.
 The system is built on Next.js with React, integrates Hugging Face inference endpoints for bias detection, and uses the Vercel AI SDK for multi-provider LLM access. Features include real-time streaming, export to JSON/PDF, and interactive visualizations (bar charts, radar charts) for bias analysis. LLM BiasScope is available as an open-source web application, providing a practical tool for bias evaluation and comparative analysis of LLM behaviour.</v>
      </c>
      <c r="D15" s="2" t="str">
        <f ca="1">IFERROR(__xludf.DUMMYFUNCTION("""COMPUTED_VALUE"""),"Nick Elias Werner , Himel Ghosh")</f>
        <v>Nick Elias Werner , Himel Ghosh</v>
      </c>
      <c r="E15" s="2" t="str">
        <f ca="1">IFERROR(__xludf.DUMMYFUNCTION("""COMPUTED_VALUE"""),"Nick Elias Werner")</f>
        <v>Nick Elias Werner</v>
      </c>
      <c r="F15" s="2" t="str">
        <f ca="1">IFERROR(__xludf.DUMMYFUNCTION("""COMPUTED_VALUE"""),"Demo")</f>
        <v>Demo</v>
      </c>
      <c r="G15" s="6" t="s">
        <v>17</v>
      </c>
      <c r="H15" s="2" t="str">
        <f ca="1">IFERROR(__xludf.DUMMYFUNCTION("""COMPUTED_VALUE"""),"POSTER HALL")</f>
        <v>POSTER HALL</v>
      </c>
      <c r="I15" t="s">
        <v>50</v>
      </c>
      <c r="J15" s="2" t="str">
        <f ca="1">IFERROR(__xludf.DUMMYFUNCTION("""COMPUTED_VALUE"""),"Wed. Mar 25")</f>
        <v>Wed. Mar 25</v>
      </c>
      <c r="K15" s="2" t="str">
        <f ca="1">IFERROR(__xludf.DUMMYFUNCTION("""COMPUTED_VALUE"""),"11:30-13:00")</f>
        <v>11:30-13:00</v>
      </c>
      <c r="L15" s="2"/>
    </row>
    <row r="16" spans="1:12" ht="15.75" hidden="1" customHeight="1" x14ac:dyDescent="0.15">
      <c r="A16" s="2" t="str">
        <f ca="1">IFERROR(__xludf.DUMMYFUNCTION("""COMPUTED_VALUE"""),"80-DEMO")</f>
        <v>80-DEMO</v>
      </c>
      <c r="B16" s="2" t="str">
        <f ca="1">IFERROR(__xludf.DUMMYFUNCTION("""COMPUTED_VALUE"""),"InkSight: Towards AI-Aided Historical Manuscript Analysis")</f>
        <v>InkSight: Towards AI-Aided Historical Manuscript Analysis</v>
      </c>
      <c r="C16" s="2" t="str">
        <f ca="1">IFERROR(__xludf.DUMMYFUNCTION("""COMPUTED_VALUE"""),"Large-scale scientific research on historical documents --- particularly medieval Arabic manuscripts --- remains challenging due to the need for advanced paleographic and linguistic training, the large volume of hand-written materials, and the absence of "&amp;"assisting software. In this paper, we propose InkSight, the first end-to-end Arabic manuscript analysis tool for manuscript-based analytics and research hypothesis testing. InkSight integrates three key components: (i) an Optical Character Recognition (OC"&amp;"R) module utilizing a Large Visual Language Model (LVLM); (ii) a lightweight document indexing and information retrieval module that enables query-based evidence retrieval from book-length manuscripts; and (iii) a flexible Large Language Model (LLM) promp"&amp;"ting interface factually grounded to the given manuscript via Retrieval-Augmented Generation (RAG). Empirical evaluation on the existing KITAB OCR benchmark and our in-house dataset of ancient Arabic manuscripts has revealed that historical research can b"&amp;"e effectively supported using smaller fine-tuned LVLMs without relying on larger proprietary models. The live demo for InkSight is available freely at: https://inksight.ru and the demo video is
 at https://youtu.be/wPtxviLQH0A.")</f>
        <v>Large-scale scientific research on historical documents --- particularly medieval Arabic manuscripts --- remains challenging due to the need for advanced paleographic and linguistic training, the large volume of hand-written materials, and the absence of assisting software. In this paper, we propose InkSight, the first end-to-end Arabic manuscript analysis tool for manuscript-based analytics and research hypothesis testing. InkSight integrates three key components: (i) an Optical Character Recognition (OCR) module utilizing a Large Visual Language Model (LVLM); (ii) a lightweight document indexing and information retrieval module that enables query-based evidence retrieval from book-length manuscripts; and (iii) a flexible Large Language Model (LLM) prompting interface factually grounded to the given manuscript via Retrieval-Augmented Generation (RAG). Empirical evaluation on the existing KITAB OCR benchmark and our in-house dataset of ancient Arabic manuscripts has revealed that historical research can be effectively supported using smaller fine-tuned LVLMs without relying on larger proprietary models. The live demo for InkSight is available freely at: https://inksight.ru and the demo video is
 at https://youtu.be/wPtxviLQH0A.</v>
      </c>
      <c r="D16" s="2" t="str">
        <f ca="1">IFERROR(__xludf.DUMMYFUNCTION("""COMPUTED_VALUE"""),"Andrey Sakhovskiy, Ivan Ulitin, Emilia Bojarskaja, Vladimir Kokh, Ruslan Murtazin, Maxim Novopoltsev, Semen Budennyy")</f>
        <v>Andrey Sakhovskiy, Ivan Ulitin, Emilia Bojarskaja, Vladimir Kokh, Ruslan Murtazin, Maxim Novopoltsev, Semen Budennyy</v>
      </c>
      <c r="E16" s="2" t="str">
        <f ca="1">IFERROR(__xludf.DUMMYFUNCTION("""COMPUTED_VALUE"""),"Andrey Sakhovskiy")</f>
        <v>Andrey Sakhovskiy</v>
      </c>
      <c r="F16" s="2" t="str">
        <f ca="1">IFERROR(__xludf.DUMMYFUNCTION("""COMPUTED_VALUE"""),"Demo")</f>
        <v>Demo</v>
      </c>
      <c r="G16" s="6" t="s">
        <v>17</v>
      </c>
      <c r="H16" s="2" t="str">
        <f ca="1">IFERROR(__xludf.DUMMYFUNCTION("""COMPUTED_VALUE"""),"POSTER HALL")</f>
        <v>POSTER HALL</v>
      </c>
      <c r="I16" t="s">
        <v>50</v>
      </c>
      <c r="J16" s="2" t="str">
        <f ca="1">IFERROR(__xludf.DUMMYFUNCTION("""COMPUTED_VALUE"""),"Wed. Mar 25")</f>
        <v>Wed. Mar 25</v>
      </c>
      <c r="K16" s="2" t="str">
        <f ca="1">IFERROR(__xludf.DUMMYFUNCTION("""COMPUTED_VALUE"""),"11:30-13:00")</f>
        <v>11:30-13:00</v>
      </c>
      <c r="L16" s="2"/>
    </row>
    <row r="17" spans="1:12" ht="15.75" hidden="1" customHeight="1" x14ac:dyDescent="0.15">
      <c r="A17" s="2" t="str">
        <f ca="1">IFERROR(__xludf.DUMMYFUNCTION("""COMPUTED_VALUE"""),"4-DEMO")</f>
        <v>4-DEMO</v>
      </c>
      <c r="B17" s="2" t="str">
        <f ca="1">IFERROR(__xludf.DUMMYFUNCTION("""COMPUTED_VALUE"""),"DeepPavlov Strikes Back: A Toolkit for Improving LLM Reliability and Trustworthiness")</f>
        <v>DeepPavlov Strikes Back: A Toolkit for Improving LLM Reliability and Trustworthiness</v>
      </c>
      <c r="C17" s="2" t="str">
        <f ca="1">IFERROR(__xludf.DUMMYFUNCTION("""COMPUTED_VALUE"""),"This paper introduces DeepPavlov 1.1, a new version of an open-source library for natural language processing (NLP). DeepPavlov 1.1 supports both traditional NLP tasks (like named entity recognition, sentiment classification) and new tasks needed to enhan"&amp;"ce LLMs truthfulness and reliability. These tools include: a hallucination detection model, an evergreen question classifier, and a toxicity classifier. The library is easy to use, flexible, and works with many languages. It is designed to help researcher"&amp;"s and developers build better, safer AI systems that use language. It is publicly available under the Apache 2.0 license and includes access to an interactive online demo.")</f>
        <v>This paper introduces DeepPavlov 1.1, a new version of an open-source library for natural language processing (NLP). DeepPavlov 1.1 supports both traditional NLP tasks (like named entity recognition, sentiment classification) and new tasks needed to enhance LLMs truthfulness and reliability. These tools include: a hallucination detection model, an evergreen question classifier, and a toxicity classifier. The library is easy to use, flexible, and works with many languages. It is designed to help researchers and developers build better, safer AI systems that use language. It is publicly available under the Apache 2.0 license and includes access to an interactive online demo.</v>
      </c>
      <c r="D17" s="2" t="str">
        <f ca="1">IFERROR(__xludf.DUMMYFUNCTION("""COMPUTED_VALUE"""),"Evgenii Nikolaev, Timur Ionov, Anna Korzanova, Vasily Konovalov, Maksim Savkin")</f>
        <v>Evgenii Nikolaev, Timur Ionov, Anna Korzanova, Vasily Konovalov, Maksim Savkin</v>
      </c>
      <c r="E17" s="2" t="str">
        <f ca="1">IFERROR(__xludf.DUMMYFUNCTION("""COMPUTED_VALUE"""),"Maksim Savkin")</f>
        <v>Maksim Savkin</v>
      </c>
      <c r="F17" s="2" t="str">
        <f ca="1">IFERROR(__xludf.DUMMYFUNCTION("""COMPUTED_VALUE"""),"Demo")</f>
        <v>Demo</v>
      </c>
      <c r="G17" s="6" t="s">
        <v>17</v>
      </c>
      <c r="H17" s="2" t="str">
        <f ca="1">IFERROR(__xludf.DUMMYFUNCTION("""COMPUTED_VALUE"""),"POSTER HALL")</f>
        <v>POSTER HALL</v>
      </c>
      <c r="I17" t="s">
        <v>65</v>
      </c>
      <c r="J17" s="2" t="str">
        <f ca="1">IFERROR(__xludf.DUMMYFUNCTION("""COMPUTED_VALUE"""),"Wed. Mar 25")</f>
        <v>Wed. Mar 25</v>
      </c>
      <c r="K17" s="2" t="str">
        <f ca="1">IFERROR(__xludf.DUMMYFUNCTION("""COMPUTED_VALUE"""),"14:30-16:00")</f>
        <v>14:30-16:00</v>
      </c>
      <c r="L17" s="2"/>
    </row>
    <row r="18" spans="1:12" ht="15.75" hidden="1" customHeight="1" x14ac:dyDescent="0.15">
      <c r="A18" s="2" t="str">
        <f ca="1">IFERROR(__xludf.DUMMYFUNCTION("""COMPUTED_VALUE"""),"82-DEMO")</f>
        <v>82-DEMO</v>
      </c>
      <c r="B18" s="2" t="str">
        <f ca="1">IFERROR(__xludf.DUMMYFUNCTION("""COMPUTED_VALUE"""),"promptolution: A Unified, Modular Framework for Prompt Optimization")</f>
        <v>promptolution: A Unified, Modular Framework for Prompt Optimization</v>
      </c>
      <c r="C18" s="2" t="str">
        <f ca="1">IFERROR(__xludf.DUMMYFUNCTION("""COMPUTED_VALUE"""),"Prompt optimization has become crucial for enhancing the performance of large language models (LLMs) across a broad range of tasks. Although many research papers show its effectiveness, practical adoption is hindered as existing implementations are often "&amp;"tied to unmaintained and isolated research codebases. To address this, we introduce promptolution, a unified and modular open-source framework that provides all components required for prompt optimization within a single extensible system for both practit"&amp;"ioners and researchers. It integrates multiple contemporary discrete prompt optimizers while remaining agnostic to the underlying LLM implementation.")</f>
        <v>Prompt optimization has become crucial for enhancing the performance of large language models (LLMs) across a broad range of tasks. Although many research papers show its effectiveness, practical adoption is hindered as existing implementations are often tied to unmaintained and isolated research codebases. To address this, we introduce promptolution, a unified and modular open-source framework that provides all components required for prompt optimization within a single extensible system for both practitioners and researchers. It integrates multiple contemporary discrete prompt optimizers while remaining agnostic to the underlying LLM implementation.</v>
      </c>
      <c r="D18" s="2" t="str">
        <f ca="1">IFERROR(__xludf.DUMMYFUNCTION("""COMPUTED_VALUE"""),"Tom Zehle, Timo Heiß, Moritz Schlager, Matthias Aßenmacher, Matthias Feurer")</f>
        <v>Tom Zehle, Timo Heiß, Moritz Schlager, Matthias Aßenmacher, Matthias Feurer</v>
      </c>
      <c r="E18" s="2" t="str">
        <f ca="1">IFERROR(__xludf.DUMMYFUNCTION("""COMPUTED_VALUE"""),"Tom Zehle")</f>
        <v>Tom Zehle</v>
      </c>
      <c r="F18" s="2" t="str">
        <f ca="1">IFERROR(__xludf.DUMMYFUNCTION("""COMPUTED_VALUE"""),"Demo")</f>
        <v>Demo</v>
      </c>
      <c r="G18" s="6" t="s">
        <v>17</v>
      </c>
      <c r="H18" s="2" t="str">
        <f ca="1">IFERROR(__xludf.DUMMYFUNCTION("""COMPUTED_VALUE"""),"POSTER HALL")</f>
        <v>POSTER HALL</v>
      </c>
      <c r="I18" t="s">
        <v>65</v>
      </c>
      <c r="J18" s="2" t="str">
        <f ca="1">IFERROR(__xludf.DUMMYFUNCTION("""COMPUTED_VALUE"""),"Wed. Mar 25")</f>
        <v>Wed. Mar 25</v>
      </c>
      <c r="K18" s="2" t="str">
        <f ca="1">IFERROR(__xludf.DUMMYFUNCTION("""COMPUTED_VALUE"""),"14:30-16:00")</f>
        <v>14:30-16:00</v>
      </c>
      <c r="L18" s="2"/>
    </row>
    <row r="19" spans="1:12" ht="15.75" hidden="1" customHeight="1" x14ac:dyDescent="0.15">
      <c r="A19" s="2" t="str">
        <f ca="1">IFERROR(__xludf.DUMMYFUNCTION("""COMPUTED_VALUE"""),"85-DEMO")</f>
        <v>85-DEMO</v>
      </c>
      <c r="B19" s="2" t="str">
        <f ca="1">IFERROR(__xludf.DUMMYFUNCTION("""COMPUTED_VALUE"""),"T-pro 2.0: An Efficient Russian Hybrid-Reasoning Model and Playground")</f>
        <v>T-pro 2.0: An Efficient Russian Hybrid-Reasoning Model and Playground</v>
      </c>
      <c r="C19" s="2" t="str">
        <f ca="1">IFERROR(__xludf.DUMMYFUNCTION("""COMPUTED_VALUE"""),"We introduce T-pro 2.0, an open-weight Russian LLM for hybrid reasoning and efficient inference.
 The model supports direct answering and reasoning-trace generation, using a Cyrillic-dense tokenizer and an adapted EAGLE speculative-decoding pipeline to re"&amp;"duce latency. To enable reproducible and extensible research, we release the model weights, the T-Wix 500k instruction corpus, the T-Math reasoning benchmark, and the EAGLE weights on HuggingFace. These resources allow users to study Russian-language reas"&amp;"oning and to extend or adapt both the model and the inference pipeline. A public web demo exposes reasoning and non-reasoning modes and illustrates the speedups achieved by our inference stack across domains.
 T-pro 2.0 thus serves as an accessible open s"&amp;"ystem for building and evaluating efficient, practical Russian LLM applications.
 Demo: https://t-pro2eagle.streamlit.app/
 https://huggingface.co/collections/t-tech/t-pro-20")</f>
        <v>We introduce T-pro 2.0, an open-weight Russian LLM for hybrid reasoning and efficient inference.
 The model supports direct answering and reasoning-trace generation, using a Cyrillic-dense tokenizer and an adapted EAGLE speculative-decoding pipeline to reduce latency. To enable reproducible and extensible research, we release the model weights, the T-Wix 500k instruction corpus, the T-Math reasoning benchmark, and the EAGLE weights on HuggingFace. These resources allow users to study Russian-language reasoning and to extend or adapt both the model and the inference pipeline. A public web demo exposes reasoning and non-reasoning modes and illustrates the speedups achieved by our inference stack across domains.
 T-pro 2.0 thus serves as an accessible open system for building and evaluating efficient, practical Russian LLM applications.
 Demo: https://t-pro2eagle.streamlit.app/
 https://huggingface.co/collections/t-tech/t-pro-20</v>
      </c>
      <c r="D19" s="2"/>
      <c r="E19" s="2" t="str">
        <f ca="1">IFERROR(__xludf.DUMMYFUNCTION("""COMPUTED_VALUE"""),"Anatolii Potapov")</f>
        <v>Anatolii Potapov</v>
      </c>
      <c r="F19" s="2" t="str">
        <f ca="1">IFERROR(__xludf.DUMMYFUNCTION("""COMPUTED_VALUE"""),"Demo")</f>
        <v>Demo</v>
      </c>
      <c r="G19" s="6" t="s">
        <v>17</v>
      </c>
      <c r="H19" s="2" t="str">
        <f ca="1">IFERROR(__xludf.DUMMYFUNCTION("""COMPUTED_VALUE"""),"POSTER HALL")</f>
        <v>POSTER HALL</v>
      </c>
      <c r="I19" t="s">
        <v>65</v>
      </c>
      <c r="J19" s="2" t="str">
        <f ca="1">IFERROR(__xludf.DUMMYFUNCTION("""COMPUTED_VALUE"""),"Wed. Mar 25")</f>
        <v>Wed. Mar 25</v>
      </c>
      <c r="K19" s="2" t="str">
        <f ca="1">IFERROR(__xludf.DUMMYFUNCTION("""COMPUTED_VALUE"""),"14:30-16:00")</f>
        <v>14:30-16:00</v>
      </c>
      <c r="L19" s="2"/>
    </row>
    <row r="20" spans="1:12" ht="15.75" hidden="1" customHeight="1" x14ac:dyDescent="0.15">
      <c r="A20" s="2" t="str">
        <f ca="1">IFERROR(__xludf.DUMMYFUNCTION("""COMPUTED_VALUE"""),"86-DEMO")</f>
        <v>86-DEMO</v>
      </c>
      <c r="B20" s="2" t="str">
        <f ca="1">IFERROR(__xludf.DUMMYFUNCTION("""COMPUTED_VALUE"""),"SDialog: A Python Toolkit for End-to-End Agent Building, User Simulation, Dialog Generation, and Evaluation")</f>
        <v>SDialog: A Python Toolkit for End-to-End Agent Building, User Simulation, Dialog Generation, and Evaluation</v>
      </c>
      <c r="C20" s="2" t="str">
        <f ca="1">IFERROR(__xludf.DUMMYFUNCTION("""COMPUTED_VALUE"""),"We present SDialog, an MIT-licensed open-source Python toolkit that unifies dialog generation, evaluation and mechanistic interpretability into a single end-to-end framework for building and analyzing LLM-based conversational agents. Built around a standa"&amp;"rdized dialog representation, SDialog provides: (1) persona-driven multi-agent simulation with composable orchestration for controlled synthetic dialog generation, (2) comprehensive evaluation combining linguistic metrics, LLM-as-a-judge and functional co"&amp;"rrectness validators, (3) mechanistic interpretability tools for activation inspection and steering via feature ablation and induction, and (4) audio generation with full acoustic simulation including 3D room modeling and microphone effects. The toolkit i"&amp;"ntegrates with all major LLM backends, enabling mixed-backend experiments under a unified API.
 By coupling generation, evaluation, and interpretability in a dialog-centric architecture, SDialog enables researchers to build, benchmark and understand conve"&amp;"rsational systems more systematically.")</f>
        <v>We present SDialog, an MIT-licensed open-source Python toolkit that unifies dialog generation, evaluation and mechanistic interpretability into a single end-to-end framework for building and analyzing LLM-based conversational agents. Built around a standardized dialog representation, SDialog provides: (1) persona-driven multi-agent simulation with composable orchestration for controlled synthetic dialog generation, (2) comprehensive evaluation combining linguistic metrics, LLM-as-a-judge and functional correctness validators, (3) mechanistic interpretability tools for activation inspection and steering via feature ablation and induction, and (4) audio generation with full acoustic simulation including 3D room modeling and microphone effects. The toolkit integrates with all major LLM backends, enabling mixed-backend experiments under a unified API.
 By coupling generation, evaluation, and interpretability in a dialog-centric architecture, SDialog enables researchers to build, benchmark and understand conversational systems more systematically.</v>
      </c>
      <c r="D20" s="2"/>
      <c r="E20" s="2" t="str">
        <f ca="1">IFERROR(__xludf.DUMMYFUNCTION("""COMPUTED_VALUE"""),"Sergio Burdisso")</f>
        <v>Sergio Burdisso</v>
      </c>
      <c r="F20" s="2" t="str">
        <f ca="1">IFERROR(__xludf.DUMMYFUNCTION("""COMPUTED_VALUE"""),"Demo")</f>
        <v>Demo</v>
      </c>
      <c r="G20" s="6" t="s">
        <v>17</v>
      </c>
      <c r="H20" s="2" t="str">
        <f ca="1">IFERROR(__xludf.DUMMYFUNCTION("""COMPUTED_VALUE"""),"POSTER HALL")</f>
        <v>POSTER HALL</v>
      </c>
      <c r="I20" t="s">
        <v>65</v>
      </c>
      <c r="J20" s="2" t="str">
        <f ca="1">IFERROR(__xludf.DUMMYFUNCTION("""COMPUTED_VALUE"""),"Wed. Mar 25")</f>
        <v>Wed. Mar 25</v>
      </c>
      <c r="K20" s="2" t="str">
        <f ca="1">IFERROR(__xludf.DUMMYFUNCTION("""COMPUTED_VALUE"""),"14:30-16:00")</f>
        <v>14:30-16:00</v>
      </c>
      <c r="L20" s="2"/>
    </row>
    <row r="21" spans="1:12" ht="15.75" hidden="1" customHeight="1" x14ac:dyDescent="0.15">
      <c r="A21" s="2" t="str">
        <f ca="1">IFERROR(__xludf.DUMMYFUNCTION("""COMPUTED_VALUE"""),"89-DEMO")</f>
        <v>89-DEMO</v>
      </c>
      <c r="B21" s="2" t="str">
        <f ca="1">IFERROR(__xludf.DUMMYFUNCTION("""COMPUTED_VALUE"""),"Agentic AI for Human Resources: LLM-Driven Candidate Assessment")</f>
        <v>Agentic AI for Human Resources: LLM-Driven Candidate Assessment</v>
      </c>
      <c r="C21" s="2" t="str">
        <f ca="1">IFERROR(__xludf.DUMMYFUNCTION("""COMPUTED_VALUE"""),"In this work, we present a modular and interpretable framework that uses Large Language Models (LLMs) to automate candidate assessment in recruitment. The system integrates diverse sources—including job descriptions, CVs, interview transcripts, and HR fee"&amp;"dback—to generate structured evaluation reports that mirror expert judgment. Unlike traditional ATS tools that rely on keyword matching or shallow scoring, our approach employs role-specific, LLM-generated rubrics and a multi-agent architecture to perform"&amp;" fine-grained, criteria-driven evaluations. The framework outputs detailed assessment reports, candidate comparisons, and ranked recommendations that are transparent, auditable, and suitable for real-world hiring workflows. 
 Beyond rubric-based analys"&amp;"is, we introduce an LLM-Driven Active Listwise Tournament mechanism for candidate ranking. Instead of noisy pairwise comparisons or inconsistent independent scoring, the LLM ranks small candidate subsets (“mini-tournaments”), and these listwise permutatio"&amp;"ns are aggregated using a Plackett–Luce model. An active-learning loop selects the most informative subsets, producing globally coherent and sample-efficient rankings. This adaptation of listwise LLM preference modeling—previously explored in financial as"&amp;"set ranking —provides a principled and highly interpretable methodology for large-scale candidate ranking in talent acquisition.")</f>
        <v>In this work, we present a modular and interpretable framework that uses Large Language Models (LLMs) to automate candidate assessment in recruitment. The system integrates diverse sources—including job descriptions, CVs, interview transcripts, and HR feedback—to generate structured evaluation reports that mirror expert judgment. Unlike traditional ATS tools that rely on keyword matching or shallow scoring, our approach employs role-specific, LLM-generated rubrics and a multi-agent architecture to perform fine-grained, criteria-driven evaluations. The framework outputs detailed assessment reports, candidate comparisons, and ranked recommendations that are transparent, auditable, and suitable for real-world hiring workflows. 
 Beyond rubric-based analysis, we introduce an LLM-Driven Active Listwise Tournament mechanism for candidate ranking. Instead of noisy pairwise comparisons or inconsistent independent scoring, the LLM ranks small candidate subsets (“mini-tournaments”), and these listwise permutations are aggregated using a Plackett–Luce model. An active-learning loop selects the most informative subsets, producing globally coherent and sample-efficient rankings. This adaptation of listwise LLM preference modeling—previously explored in financial asset ranking —provides a principled and highly interpretable methodology for large-scale candidate ranking in talent acquisition.</v>
      </c>
      <c r="D21" s="2" t="str">
        <f ca="1">IFERROR(__xludf.DUMMYFUNCTION("""COMPUTED_VALUE"""),"Kamer Ali Yuksel, Abdul Basit Anees, Ashraf Elneima Sanjika Hewavitharana, Mohamed Elbadrashiny, Hassan Sawaf")</f>
        <v>Kamer Ali Yuksel, Abdul Basit Anees, Ashraf Elneima Sanjika Hewavitharana, Mohamed Elbadrashiny, Hassan Sawaf</v>
      </c>
      <c r="E21" s="2" t="str">
        <f ca="1">IFERROR(__xludf.DUMMYFUNCTION("""COMPUTED_VALUE"""),"Ashraf Elneima")</f>
        <v>Ashraf Elneima</v>
      </c>
      <c r="F21" s="2" t="str">
        <f ca="1">IFERROR(__xludf.DUMMYFUNCTION("""COMPUTED_VALUE"""),"Demo")</f>
        <v>Demo</v>
      </c>
      <c r="G21" s="6" t="s">
        <v>17</v>
      </c>
      <c r="H21" s="2" t="str">
        <f ca="1">IFERROR(__xludf.DUMMYFUNCTION("""COMPUTED_VALUE"""),"POSTER HALL")</f>
        <v>POSTER HALL</v>
      </c>
      <c r="I21" t="s">
        <v>65</v>
      </c>
      <c r="J21" s="2" t="str">
        <f ca="1">IFERROR(__xludf.DUMMYFUNCTION("""COMPUTED_VALUE"""),"Wed. Mar 25")</f>
        <v>Wed. Mar 25</v>
      </c>
      <c r="K21" s="2" t="str">
        <f ca="1">IFERROR(__xludf.DUMMYFUNCTION("""COMPUTED_VALUE"""),"14:30-16:00")</f>
        <v>14:30-16:00</v>
      </c>
      <c r="L21" s="2"/>
    </row>
    <row r="22" spans="1:12" ht="15.75" hidden="1" customHeight="1" x14ac:dyDescent="0.15">
      <c r="A22" s="2" t="str">
        <f ca="1">IFERROR(__xludf.DUMMYFUNCTION("""COMPUTED_VALUE"""),"92-DEMO")</f>
        <v>92-DEMO</v>
      </c>
      <c r="B22" s="2" t="str">
        <f ca="1">IFERROR(__xludf.DUMMYFUNCTION("""COMPUTED_VALUE"""),"SciTrue: Evidence-Grounded Claim Verification in Science")</f>
        <v>SciTrue: Evidence-Grounded Claim Verification in Science</v>
      </c>
      <c r="C22" s="2" t="str">
        <f ca="1">IFERROR(__xludf.DUMMYFUNCTION("""COMPUTED_VALUE"""),"Large language models (LLMs) have expanded the potential for AI-assisted scientific claim verification, yet existing systems often exhibit unverifiable attributions, shallow evidence mapping, and hallucinated citations. We present SciTrue, a claim verific"&amp;"ation system providing source-level accountability and evidence traceability. SciTrue links each claim component to explicit, verifiable scientific sources, enabling users to inspect and challenge model inferences, addressing limitations of both general-p"&amp;"urpose and search-augmented LLMs. In a human evaluation of 300 attributions, SciTrue achieves high fidelity in summary traceability, attribution accuracy, and context alignment, substantially outperforming RAG-based baselines such as GPT-4o-search-preview"&amp;" and Perplexity Sonar Pro. These results underscore the importance of principled attribution and context-aware reasoning in AI-assisted scientific verification. A system demo is available at \href{https://www.scitrue.org/platform/?access=EACL2026DEMO}{www"&amp;".scitrue.org}.")</f>
        <v>Large language models (LLMs) have expanded the potential for AI-assisted scientific claim verification, yet existing systems often exhibit unverifiable attributions, shallow evidence mapping, and hallucinated citations. We present SciTrue, a claim verification system providing source-level accountability and evidence traceability. SciTrue links each claim component to explicit, verifiable scientific sources, enabling users to inspect and challenge model inferences, addressing limitations of both general-purpose and search-augmented LLMs. In a human evaluation of 300 attributions, SciTrue achieves high fidelity in summary traceability, attribution accuracy, and context alignment, substantially outperforming RAG-based baselines such as GPT-4o-search-preview and Perplexity Sonar Pro. These results underscore the importance of principled attribution and context-aware reasoning in AI-assisted scientific verification. A system demo is available at \href{https://www.scitrue.org/platform/?access=EACL2026DEMO}{www.scitrue.org}.</v>
      </c>
      <c r="D22" s="2" t="str">
        <f ca="1">IFERROR(__xludf.DUMMYFUNCTION("""COMPUTED_VALUE""")," Neşet Özkan TAN,   Minghao Li,   Mark Gahegan")</f>
        <v xml:space="preserve"> Neşet Özkan TAN,   Minghao Li,   Mark Gahegan</v>
      </c>
      <c r="E22" s="2" t="str">
        <f ca="1">IFERROR(__xludf.DUMMYFUNCTION("""COMPUTED_VALUE""")," Neşet Özkan TAN")</f>
        <v xml:space="preserve"> Neşet Özkan TAN</v>
      </c>
      <c r="F22" s="2" t="str">
        <f ca="1">IFERROR(__xludf.DUMMYFUNCTION("""COMPUTED_VALUE"""),"Demo")</f>
        <v>Demo</v>
      </c>
      <c r="G22" s="6" t="s">
        <v>17</v>
      </c>
      <c r="H22" s="2" t="str">
        <f ca="1">IFERROR(__xludf.DUMMYFUNCTION("""COMPUTED_VALUE"""),"POSTER HALL")</f>
        <v>POSTER HALL</v>
      </c>
      <c r="I22" t="s">
        <v>65</v>
      </c>
      <c r="J22" s="2" t="str">
        <f ca="1">IFERROR(__xludf.DUMMYFUNCTION("""COMPUTED_VALUE"""),"Wed. Mar 25")</f>
        <v>Wed. Mar 25</v>
      </c>
      <c r="K22" s="2" t="str">
        <f ca="1">IFERROR(__xludf.DUMMYFUNCTION("""COMPUTED_VALUE"""),"14:30-16:00")</f>
        <v>14:30-16:00</v>
      </c>
      <c r="L22" s="2"/>
    </row>
    <row r="23" spans="1:12" ht="15.75" hidden="1" customHeight="1" x14ac:dyDescent="0.15">
      <c r="A23" s="2" t="str">
        <f ca="1">IFERROR(__xludf.DUMMYFUNCTION("""COMPUTED_VALUE"""),"34-DEMO")</f>
        <v>34-DEMO</v>
      </c>
      <c r="B23" s="2" t="str">
        <f ca="1">IFERROR(__xludf.DUMMYFUNCTION("""COMPUTED_VALUE"""),"Pro-QuEST: Prompt-chaining Quiz Engine for testing Specialized Technical Product Knowledge")</f>
        <v>Pro-QuEST: Prompt-chaining Quiz Engine for testing Specialized Technical Product Knowledge</v>
      </c>
      <c r="C23" s="2" t="str">
        <f ca="1">IFERROR(__xludf.DUMMYFUNCTION("""COMPUTED_VALUE"""),"In today’s rapidly evolving large language model (LLM) landscape, technology companies such as Cisco face the difficult challenge
 of selecting the most suitable model for downstream tasks that demand deep, domain-specific
 product knowledge. Specialized "&amp;"benchmarks not only inform this decision making but also
 can be leveraged to rapidly create quizzes that can effectively train engineering and marketing
 personnel on novel product offerings in a continually growing Cisco product space.
 We present Pro-Q"&amp;"uEST, our Prompt-chain based Quiz Engine using state-of-the-art LLMs
 for generating multiple-choice questions on Specialized Technical products. In Pro-QuEST,
 we first identify key terms and topics from a given professional certification textbook or
 pr"&amp;"oduct guide, and generate a series of multiple-choice questions using domain-knowledge
 guided prompts. We show LLM benchmarking results with the question benchmarks generated by Pro-QuEST using a range of latest
 open-source, and proprietary LLMs and com"&amp;"pare them with expert-created exams and review 
 questions to derive insights on their composition and difficulty. Our experiments indicate that though there is room for improvement
 in Pro-QuEST to generate questions of the complexity levels seen in expe"&amp;"rt-designed 
 certification exams, question-type based prompts provide a promising direction to address this limitation. In sample user studies with Cisco personnel, Pro-QuEST was received with high optimism for its practical usefulness in quickly
 compil"&amp;"ing quizzes for self-assessment on knowledge of novel products in the rapidly changing tech sector.")</f>
        <v>In today’s rapidly evolving large language model (LLM) landscape, technology companies such as Cisco face the difficult challenge
 of selecting the most suitable model for downstream tasks that demand deep, domain-specific
 product knowledge. Specialized benchmarks not only inform this decision making but also
 can be leveraged to rapidly create quizzes that can effectively train engineering and marketing
 personnel on novel product offerings in a continually growing Cisco product space.
 We present Pro-QuEST, our Prompt-chain based Quiz Engine using state-of-the-art LLMs
 for generating multiple-choice questions on Specialized Technical products. In Pro-QuEST,
 we first identify key terms and topics from a given professional certification textbook or
 product guide, and generate a series of multiple-choice questions using domain-knowledge
 guided prompts. We show LLM benchmarking results with the question benchmarks generated by Pro-QuEST using a range of latest
 open-source, and proprietary LLMs and compare them with expert-created exams and review 
 questions to derive insights on their composition and difficulty. Our experiments indicate that though there is room for improvement
 in Pro-QuEST to generate questions of the complexity levels seen in expert-designed 
 certification exams, question-type based prompts provide a promising direction to address this limitation. In sample user studies with Cisco personnel, Pro-QuEST was received with high optimism for its practical usefulness in quickly
 compiling quizzes for self-assessment on knowledge of novel products in the rapidly changing tech sector.</v>
      </c>
      <c r="D23" s="2" t="str">
        <f ca="1">IFERROR(__xludf.DUMMYFUNCTION("""COMPUTED_VALUE"""),"Sujatha Das Gollapalli, Mouad Hakam, Mingzhe Du, See-Kiong Ng, Mohammed Hamzeh ")</f>
        <v xml:space="preserve">Sujatha Das Gollapalli, Mouad Hakam, Mingzhe Du, See-Kiong Ng, Mohammed Hamzeh </v>
      </c>
      <c r="E23" s="2" t="str">
        <f ca="1">IFERROR(__xludf.DUMMYFUNCTION("""COMPUTED_VALUE"""),"Sujatha Das Gollapalli")</f>
        <v>Sujatha Das Gollapalli</v>
      </c>
      <c r="F23" s="2" t="str">
        <f ca="1">IFERROR(__xludf.DUMMYFUNCTION("""COMPUTED_VALUE"""),"Demo")</f>
        <v>Demo</v>
      </c>
      <c r="G23" s="6" t="s">
        <v>17</v>
      </c>
      <c r="H23" s="2" t="str">
        <f ca="1">IFERROR(__xludf.DUMMYFUNCTION("""COMPUTED_VALUE"""),"POSTER HALL")</f>
        <v>POSTER HALL</v>
      </c>
      <c r="I23" t="s">
        <v>58</v>
      </c>
      <c r="J23" s="2" t="str">
        <f ca="1">IFERROR(__xludf.DUMMYFUNCTION("""COMPUTED_VALUE"""),"Wed. Mar 25")</f>
        <v>Wed. Mar 25</v>
      </c>
      <c r="K23" s="2" t="str">
        <f ca="1">IFERROR(__xludf.DUMMYFUNCTION("""COMPUTED_VALUE"""),"16:30-18:00")</f>
        <v>16:30-18:00</v>
      </c>
      <c r="L23" s="2"/>
    </row>
    <row r="24" spans="1:12" ht="15.75" hidden="1" customHeight="1" x14ac:dyDescent="0.15">
      <c r="A24" s="2" t="str">
        <f ca="1">IFERROR(__xludf.DUMMYFUNCTION("""COMPUTED_VALUE"""),"36-DEMO")</f>
        <v>36-DEMO</v>
      </c>
      <c r="B24" s="2" t="str">
        <f ca="1">IFERROR(__xludf.DUMMYFUNCTION("""COMPUTED_VALUE"""),"elfen: A Python Package for Efficient Linguistic Feature Extraction for Natural Language Datasets")</f>
        <v>elfen: A Python Package for Efficient Linguistic Feature Extraction for Natural Language Datasets</v>
      </c>
      <c r="C24" s="2" t="str">
        <f ca="1">IFERROR(__xludf.DUMMYFUNCTION("""COMPUTED_VALUE"""),"A detailed understanding of the basic properties of text collections produced by humans or generated synthetically is vital for all steps of the natural language processing system life cycle, from training to evaluating model performance and synthetic tex"&amp;"ts.
 To facilitate the analysis of these properties, we introduce elfen, a Python library for efficient linguistic feature extraction for text datasets. It includes the largest set of item-level linguistic features in eleven feature areas: surface-level, "&amp;"POS, lexical richness, readability, named entity, semantic, information-theoretic, emotion, psycholinguistic, dependency, and morphological features. Building on top of popular NLP and modern dataframe libraries, elfen enables feature extraction in variou"&amp;"s languages ($80$ at the moment) on thousands of items, even given limited computing resources. We show how using elfen enables linguistically informed data selection, outlier detection, and text collection comparison.
 We release elfen as an open-source "&amp;"PyPI package, accompanied by extensive documentation, including tutorials. We host the code at https://github.com/mmmaurer/elfen/, make it available through the GESIS Methods Hub at https://methodshub.gesis.org/library/methods/elfen/, and provide document"&amp;"ation and tutorials at https://elfen.readthedocs.io/en/latest/. A screencast showcasing elfen is available at https://youtu.be/b4pqHWn6UPU.")</f>
        <v>A detailed understanding of the basic properties of text collections produced by humans or generated synthetically is vital for all steps of the natural language processing system life cycle, from training to evaluating model performance and synthetic texts.
 To facilitate the analysis of these properties, we introduce elfen, a Python library for efficient linguistic feature extraction for text datasets. It includes the largest set of item-level linguistic features in eleven feature areas: surface-level, POS, lexical richness, readability, named entity, semantic, information-theoretic, emotion, psycholinguistic, dependency, and morphological features. Building on top of popular NLP and modern dataframe libraries, elfen enables feature extraction in various languages ($80$ at the moment) on thousands of items, even given limited computing resources. We show how using elfen enables linguistically informed data selection, outlier detection, and text collection comparison.
 We release elfen as an open-source PyPI package, accompanied by extensive documentation, including tutorials. We host the code at https://github.com/mmmaurer/elfen/, make it available through the GESIS Methods Hub at https://methodshub.gesis.org/library/methods/elfen/, and provide documentation and tutorials at https://elfen.readthedocs.io/en/latest/. A screencast showcasing elfen is available at https://youtu.be/b4pqHWn6UPU.</v>
      </c>
      <c r="D24" s="2" t="str">
        <f ca="1">IFERROR(__xludf.DUMMYFUNCTION("""COMPUTED_VALUE"""),"Maximilian Maurer")</f>
        <v>Maximilian Maurer</v>
      </c>
      <c r="E24" s="2" t="str">
        <f ca="1">IFERROR(__xludf.DUMMYFUNCTION("""COMPUTED_VALUE"""),"Maximilian Maurer")</f>
        <v>Maximilian Maurer</v>
      </c>
      <c r="F24" s="2" t="str">
        <f ca="1">IFERROR(__xludf.DUMMYFUNCTION("""COMPUTED_VALUE"""),"Demo")</f>
        <v>Demo</v>
      </c>
      <c r="G24" s="6" t="s">
        <v>17</v>
      </c>
      <c r="H24" s="2" t="str">
        <f ca="1">IFERROR(__xludf.DUMMYFUNCTION("""COMPUTED_VALUE"""),"POSTER HALL")</f>
        <v>POSTER HALL</v>
      </c>
      <c r="I24" t="s">
        <v>58</v>
      </c>
      <c r="J24" s="2" t="str">
        <f ca="1">IFERROR(__xludf.DUMMYFUNCTION("""COMPUTED_VALUE"""),"Wed. Mar 25")</f>
        <v>Wed. Mar 25</v>
      </c>
      <c r="K24" s="2" t="str">
        <f ca="1">IFERROR(__xludf.DUMMYFUNCTION("""COMPUTED_VALUE"""),"16:30-18:00")</f>
        <v>16:30-18:00</v>
      </c>
      <c r="L24" s="2"/>
    </row>
    <row r="25" spans="1:12" ht="15.75" hidden="1" customHeight="1" x14ac:dyDescent="0.15">
      <c r="A25" s="2" t="str">
        <f ca="1">IFERROR(__xludf.DUMMYFUNCTION("""COMPUTED_VALUE"""),"46-DEMO")</f>
        <v>46-DEMO</v>
      </c>
      <c r="B25" s="2" t="str">
        <f ca="1">IFERROR(__xludf.DUMMYFUNCTION("""COMPUTED_VALUE"""),"Fact Finder - Enhancing Domain Expertise of Large Language Models by Incorporating Knowledge Graphs")</f>
        <v>Fact Finder - Enhancing Domain Expertise of Large Language Models by Incorporating Knowledge Graphs</v>
      </c>
      <c r="C25" s="2" t="str">
        <f ca="1">IFERROR(__xludf.DUMMYFUNCTION("""COMPUTED_VALUE"""),"Recent advancements in Large Language Models (LLMs) have showcased their proficiency in answering natural language queries. However, their effectiveness is hindered by limited domain-specific knowledge, raising concerns about the reliability of their resp"&amp;"onses. We introduce a hybrid system that augments LLMs with domain-specific knowledge graphs (KGs), thereby aiming to enhance factual correctness using a KG-based retrieval approach. We focus on a medical KG to demonstrate our methodology, which includes "&amp;"(1) pre-processing, (2) Cypher query generation, (3) Cypher query processing, (4) KG retrieval, and (5) LLM-enhanced response generation. We evaluate our system on a curated dataset of 69 samples, achieving a precision of 78% in retrieving correct KG node"&amp;"s. Our findings indicate that the hybrid system surpasses a standalone LLM in accuracy and completeness, as verified by an LLM-as-a-Judge evaluation method. This positions the system as a promising tool for applications that demand factual correctness and"&amp;" completeness, such as target identification --- a critical process in pinpointing biological entities for disease treatment or crop enhancement. Moreover, its intuitive search interface and ability to provide accurate responses within seconds make it wel"&amp;"l-suited for time-sensitive, precision-focused research contexts. We publish the source code together with the dataset and the prompt templates used.")</f>
        <v>Recent advancements in Large Language Models (LLMs) have showcased their proficiency in answering natural language queries. However, their effectiveness is hindered by limited domain-specific knowledge, raising concerns about the reliability of their responses. We introduce a hybrid system that augments LLMs with domain-specific knowledge graphs (KGs), thereby aiming to enhance factual correctness using a KG-based retrieval approach. We focus on a medical KG to demonstrate our methodology, which includes (1) pre-processing, (2) Cypher query generation, (3) Cypher query processing, (4) KG retrieval, and (5) LLM-enhanced response generation. We evaluate our system on a curated dataset of 69 samples, achieving a precision of 78% in retrieving correct KG nodes. Our findings indicate that the hybrid system surpasses a standalone LLM in accuracy and completeness, as verified by an LLM-as-a-Judge evaluation method. This positions the system as a promising tool for applications that demand factual correctness and completeness, such as target identification --- a critical process in pinpointing biological entities for disease treatment or crop enhancement. Moreover, its intuitive search interface and ability to provide accurate responses within seconds make it well-suited for time-sensitive, precision-focused research contexts. We publish the source code together with the dataset and the prompt templates used.</v>
      </c>
      <c r="D25" s="2" t="str">
        <f ca="1">IFERROR(__xludf.DUMMYFUNCTION("""COMPUTED_VALUE"""),"Daniel Steinigen, Roman Teucher, Timm Heine Ruland, Max Rudat, Nicolas Flores-Herr, Peter Fischer, Nikola Milosevic, Christopher Schymura, Angelo Ziletti")</f>
        <v>Daniel Steinigen, Roman Teucher, Timm Heine Ruland, Max Rudat, Nicolas Flores-Herr, Peter Fischer, Nikola Milosevic, Christopher Schymura, Angelo Ziletti</v>
      </c>
      <c r="E25" s="2" t="str">
        <f ca="1">IFERROR(__xludf.DUMMYFUNCTION("""COMPUTED_VALUE"""),"Daniel Steinigen")</f>
        <v>Daniel Steinigen</v>
      </c>
      <c r="F25" s="2" t="str">
        <f ca="1">IFERROR(__xludf.DUMMYFUNCTION("""COMPUTED_VALUE"""),"Demo")</f>
        <v>Demo</v>
      </c>
      <c r="G25" s="6" t="s">
        <v>17</v>
      </c>
      <c r="H25" s="2" t="str">
        <f ca="1">IFERROR(__xludf.DUMMYFUNCTION("""COMPUTED_VALUE"""),"POSTER HALL")</f>
        <v>POSTER HALL</v>
      </c>
      <c r="I25" t="s">
        <v>58</v>
      </c>
      <c r="J25" s="2" t="str">
        <f ca="1">IFERROR(__xludf.DUMMYFUNCTION("""COMPUTED_VALUE"""),"Wed. Mar 25")</f>
        <v>Wed. Mar 25</v>
      </c>
      <c r="K25" s="2" t="str">
        <f ca="1">IFERROR(__xludf.DUMMYFUNCTION("""COMPUTED_VALUE"""),"16:30-18:00")</f>
        <v>16:30-18:00</v>
      </c>
      <c r="L25" s="2"/>
    </row>
    <row r="26" spans="1:12" ht="15.75" hidden="1" customHeight="1" x14ac:dyDescent="0.15">
      <c r="A26" s="2" t="str">
        <f ca="1">IFERROR(__xludf.DUMMYFUNCTION("""COMPUTED_VALUE"""),"91-DEMO")</f>
        <v>91-DEMO</v>
      </c>
      <c r="B26" s="2" t="str">
        <f ca="1">IFERROR(__xludf.DUMMYFUNCTION("""COMPUTED_VALUE"""),"ClinicalTrialsHub: Bridging Registries and Literature for Comprehensive Clinical Trial Access")</f>
        <v>ClinicalTrialsHub: Bridging Registries and Literature for Comprehensive Clinical Trial Access</v>
      </c>
      <c r="C26" s="2" t="str">
        <f ca="1">IFERROR(__xludf.DUMMYFUNCTION("""COMPUTED_VALUE"""),"We present ClinicalTrialsHub, an interactive search-focused platform that consolidates all data from ClinicalTrials.gov and augments it by automatically extracting and structuring trial-relevant information from PubMed research articles. Our system effect"&amp;"ively increases access to structured clinical trial data by 83.8% compared to relying on ClinicalTrials.gov alone, with potential to make access easier for patients, clinicians, researchers, and policymakers, advancing evidence-based medicine. ClinicalTri"&amp;"alsHub uses large language models such as GPT-5.1 and Gemini-3-Pro to enhance accessibility. The platform automatically parses full-text research articles to extract structured trial information, translates user queries into structured database searches, "&amp;"and provides an attributed question-answering system that generates evidence-grounded answers linked to specific source sentences. We demonstrate its utility through a user study involving clinicians, clinical researchers, and PhD students of pharmaceutic"&amp;"al sciences and nursing, and a systematic automatic evaluation of its information extraction and question answering capabilities.")</f>
        <v>We present ClinicalTrialsHub, an interactive search-focused platform that consolidates all data from ClinicalTrials.gov and augments it by automatically extracting and structuring trial-relevant information from PubMed research articles. Our system effectively increases access to structured clinical trial data by 83.8% compared to relying on ClinicalTrials.gov alone, with potential to make access easier for patients, clinicians, researchers, and policymakers, advancing evidence-based medicine. ClinicalTrialsHub uses large language models such as GPT-5.1 and Gemini-3-Pro to enhance accessibility. The platform automatically parses full-text research articles to extract structured trial information, translates user queries into structured database searches, and provides an attributed question-answering system that generates evidence-grounded answers linked to specific source sentences. We demonstrate its utility through a user study involving clinicians, clinical researchers, and PhD students of pharmaceutical sciences and nursing, and a systematic automatic evaluation of its information extraction and question answering capabilities.</v>
      </c>
      <c r="D26" s="2" t="str">
        <f ca="1">IFERROR(__xludf.DUMMYFUNCTION("""COMPUTED_VALUE"""),"Jiwoo Park, Ruoqi Liu, Avani Jagdale, Andrew Srisuwananukorn, Jing Zhao, Lang Li, Ping Zhang, Sachin Kumar")</f>
        <v>Jiwoo Park, Ruoqi Liu, Avani Jagdale, Andrew Srisuwananukorn, Jing Zhao, Lang Li, Ping Zhang, Sachin Kumar</v>
      </c>
      <c r="E26" s="2" t="str">
        <f ca="1">IFERROR(__xludf.DUMMYFUNCTION("""COMPUTED_VALUE"""),"Jiwoo Park")</f>
        <v>Jiwoo Park</v>
      </c>
      <c r="F26" s="2" t="str">
        <f ca="1">IFERROR(__xludf.DUMMYFUNCTION("""COMPUTED_VALUE"""),"Demo")</f>
        <v>Demo</v>
      </c>
      <c r="G26" s="6" t="s">
        <v>17</v>
      </c>
      <c r="H26" s="2" t="str">
        <f ca="1">IFERROR(__xludf.DUMMYFUNCTION("""COMPUTED_VALUE"""),"POSTER HALL")</f>
        <v>POSTER HALL</v>
      </c>
      <c r="I26" t="s">
        <v>58</v>
      </c>
      <c r="J26" s="2" t="str">
        <f ca="1">IFERROR(__xludf.DUMMYFUNCTION("""COMPUTED_VALUE"""),"Wed. Mar 25")</f>
        <v>Wed. Mar 25</v>
      </c>
      <c r="K26" s="2" t="str">
        <f ca="1">IFERROR(__xludf.DUMMYFUNCTION("""COMPUTED_VALUE"""),"16:30-18:00")</f>
        <v>16:30-18:00</v>
      </c>
      <c r="L26" s="2"/>
    </row>
    <row r="27" spans="1:12" ht="15.75" hidden="1" customHeight="1" x14ac:dyDescent="0.15">
      <c r="A27" s="2" t="str">
        <f ca="1">IFERROR(__xludf.DUMMYFUNCTION("""COMPUTED_VALUE"""),"93-DEMO")</f>
        <v>93-DEMO</v>
      </c>
      <c r="B27" s="2" t="str">
        <f ca="1">IFERROR(__xludf.DUMMYFUNCTION("""COMPUTED_VALUE"""),"PUCP-Metrix: An Open-source and Comprehensive Toolkit for Linguistic Analysis of Spanish Texts")</f>
        <v>PUCP-Metrix: An Open-source and Comprehensive Toolkit for Linguistic Analysis of Spanish Texts</v>
      </c>
      <c r="C27" s="2" t="str">
        <f ca="1">IFERROR(__xludf.DUMMYFUNCTION("""COMPUTED_VALUE"""),"Linguistic features remain essential for interpretability and tasks that involve style, structure, and readability, but existing Spanish tools offer limited coverage. We present PUCPMetrix, an open-source and comprehensive toolkit for linguistic analysis "&amp;"of Spanish texts. PUCP-Metrix includes 182 linguistic metrics spanning lexical diversity, syntactic and semantic complexity, cohesion, psycholinguistics, and readability. It enables fine-grained, interpretable text analysis. We evaluate its usefulness on "&amp;"Automated Readability Assessment and Machine-Generated Text Detection, showing competitive performance compared to an existing repository and strong neural baselines. PUCP-Metrix offers a comprehensive and extensible resource for Spanish, supporting diver"&amp;"se NLP applications.")</f>
        <v>Linguistic features remain essential for interpretability and tasks that involve style, structure, and readability, but existing Spanish tools offer limited coverage. We present PUCPMetrix, an open-source and comprehensive toolkit for linguistic analysis of Spanish texts. PUCP-Metrix includes 182 linguistic metrics spanning lexical diversity, syntactic and semantic complexity, cohesion, psycholinguistics, and readability. It enables fine-grained, interpretable text analysis. We evaluate its usefulness on Automated Readability Assessment and Machine-Generated Text Detection, showing competitive performance compared to an existing repository and strong neural baselines. PUCP-Metrix offers a comprehensive and extensible resource for Spanish, supporting diverse NLP applications.</v>
      </c>
      <c r="D27" s="2" t="str">
        <f ca="1">IFERROR(__xludf.DUMMYFUNCTION("""COMPUTED_VALUE"""),"Javier Alonso Villegas Luis, Marco Antonio Sobrevilla Cabezudo")</f>
        <v>Javier Alonso Villegas Luis, Marco Antonio Sobrevilla Cabezudo</v>
      </c>
      <c r="E27" s="2" t="str">
        <f ca="1">IFERROR(__xludf.DUMMYFUNCTION("""COMPUTED_VALUE"""),"Javier Alonso Villegas Luis")</f>
        <v>Javier Alonso Villegas Luis</v>
      </c>
      <c r="F27" s="2" t="str">
        <f ca="1">IFERROR(__xludf.DUMMYFUNCTION("""COMPUTED_VALUE"""),"Demo")</f>
        <v>Demo</v>
      </c>
      <c r="G27" s="6" t="s">
        <v>17</v>
      </c>
      <c r="H27" s="2" t="str">
        <f ca="1">IFERROR(__xludf.DUMMYFUNCTION("""COMPUTED_VALUE"""),"POSTER HALL")</f>
        <v>POSTER HALL</v>
      </c>
      <c r="I27" t="s">
        <v>58</v>
      </c>
      <c r="J27" s="2" t="str">
        <f ca="1">IFERROR(__xludf.DUMMYFUNCTION("""COMPUTED_VALUE"""),"Wed. Mar 25")</f>
        <v>Wed. Mar 25</v>
      </c>
      <c r="K27" s="2" t="str">
        <f ca="1">IFERROR(__xludf.DUMMYFUNCTION("""COMPUTED_VALUE"""),"16:30-18:00")</f>
        <v>16:30-18:00</v>
      </c>
      <c r="L27" s="2"/>
    </row>
    <row r="28" spans="1:12" ht="15.75" hidden="1" customHeight="1" x14ac:dyDescent="0.15">
      <c r="A28" s="2" t="str">
        <f ca="1">IFERROR(__xludf.DUMMYFUNCTION("""COMPUTED_VALUE"""),"111-DEMO")</f>
        <v>111-DEMO</v>
      </c>
      <c r="B28" s="2" t="str">
        <f ca="1">IFERROR(__xludf.DUMMYFUNCTION("""COMPUTED_VALUE"""),"QSTN: A Modular Framework for Robust Questionnaire Inference with Large Language Models")</f>
        <v>QSTN: A Modular Framework for Robust Questionnaire Inference with Large Language Models</v>
      </c>
      <c r="C28" s="2" t="str">
        <f ca="1">IFERROR(__xludf.DUMMYFUNCTION("""COMPUTED_VALUE"""),"We introduce QSTN, an open-source Python framework for systematically generating responses from questionnaire-style prompts to support in-silico surveys and annotation tasks with large language models (LLMs). QSTN enables robust evaluation of questionnair"&amp;"e presentation, prompt perturbations, and response generation methods. Our extensive evaluation (&gt;40 million survey responses) shows that question structure and response generation methods have a significant impact on alignment of generated survey respons"&amp;"es to human answers and can be obtained for a fraction of the compute cost. In addition, we offer a no-code user interface, which allows researchers to set up robust experiments with LLMs without coding knowledge. We hope that QSTN will support the reprod"&amp;"ucibility and reliability of LLM-based research in the future.")</f>
        <v>We introduce QSTN, an open-source Python framework for systematically generating responses from questionnaire-style prompts to support in-silico surveys and annotation tasks with large language models (LLMs). QSTN enables robust evaluation of questionnaire presentation, prompt perturbations, and response generation methods. Our extensive evaluation (&gt;40 million survey responses) shows that question structure and response generation methods have a significant impact on alignment of generated survey responses to human answers and can be obtained for a fraction of the compute cost. In addition, we offer a no-code user interface, which allows researchers to set up robust experiments with LLMs without coding knowledge. We hope that QSTN will support the reproducibility and reliability of LLM-based research in the future.</v>
      </c>
      <c r="D28" s="2" t="str">
        <f ca="1">IFERROR(__xludf.DUMMYFUNCTION("""COMPUTED_VALUE"""),"Maximilian Kreutner, Jens Rupprecht, Georg Ahnert, Ahmed Salem, Markus Strohmaier")</f>
        <v>Maximilian Kreutner, Jens Rupprecht, Georg Ahnert, Ahmed Salem, Markus Strohmaier</v>
      </c>
      <c r="E28" s="2" t="str">
        <f ca="1">IFERROR(__xludf.DUMMYFUNCTION("""COMPUTED_VALUE"""),"Maximilian Kreutner")</f>
        <v>Maximilian Kreutner</v>
      </c>
      <c r="F28" s="2" t="str">
        <f ca="1">IFERROR(__xludf.DUMMYFUNCTION("""COMPUTED_VALUE"""),"Demo")</f>
        <v>Demo</v>
      </c>
      <c r="G28" s="6" t="s">
        <v>17</v>
      </c>
      <c r="H28" s="2" t="str">
        <f ca="1">IFERROR(__xludf.DUMMYFUNCTION("""COMPUTED_VALUE"""),"POSTER HALL")</f>
        <v>POSTER HALL</v>
      </c>
      <c r="I28" t="s">
        <v>19</v>
      </c>
      <c r="J28" s="2" t="str">
        <f ca="1">IFERROR(__xludf.DUMMYFUNCTION("""COMPUTED_VALUE"""),"Thur. Mar 26")</f>
        <v>Thur. Mar 26</v>
      </c>
      <c r="K28" s="2" t="str">
        <f ca="1">IFERROR(__xludf.DUMMYFUNCTION("""COMPUTED_VALUE"""),"09:00-10:30")</f>
        <v>09:00-10:30</v>
      </c>
      <c r="L28" s="2"/>
    </row>
    <row r="29" spans="1:12" ht="15.75" hidden="1" customHeight="1" x14ac:dyDescent="0.15">
      <c r="A29" s="2" t="str">
        <f ca="1">IFERROR(__xludf.DUMMYFUNCTION("""COMPUTED_VALUE"""),"122-DEMO")</f>
        <v>122-DEMO</v>
      </c>
      <c r="B29" s="2" t="str">
        <f ca="1">IFERROR(__xludf.DUMMYFUNCTION("""COMPUTED_VALUE"""),"The AI Committee: A Multi-Agent Framework for Automated Validation and Remediation of Web-Sourced Data")</f>
        <v>The AI Committee: A Multi-Agent Framework for Automated Validation and Remediation of Web-Sourced Data</v>
      </c>
      <c r="C29" s="2" t="str">
        <f ca="1">IFERROR(__xludf.DUMMYFUNCTION("""COMPUTED_VALUE"""),"Many research areas rely on data from the
 web to gain insights and test their methods.
 However, collecting comprehensive research
 datasets often demands manually reviewing
 many web pages to identify and record relevant
 data points, which is labor-int"&amp;"ensive and sus-
 ceptible to error. While the emergence of large
 language models (LLM)-powered web agents
 has begun to automate parts of this process,
 they often struggle to ensure the validity of the
 data they collect. Indeed, these agents exhibit
 s"&amp;"everal recurring failure modes—including hal-
 lucinating or omitting values, misinterpreting
 page semantics, and failing to detect invalid
 information—which are subtle and difficult
 to detect and correct manually. To address
 this, we introduce the AI"&amp;" Committee, a novel
 model-agnostic multi-agent system that auto-
 mates the process of validating and remediating
 web-sourced datasets. Each agent is special-
 ized in a distinct task in the data quality assur-
 ance pipeline, from source scrutiny and f"&amp;"act-
 checking to data remediation and integrity val-
 idation. The AI Committee leverages various
 LLM capabilities—including in-context learn-
 ing for dataset adaptation, chain-of-thought rea-
 soning for complex semantic validation, and a
 self-correc"&amp;"tion loop for data remediation—all
 without task-specific training. We demonstrate
 the effectiveness of our system by applying
 it to three real-world datasets, showing that it
 generalizes across LLMs and significantly out-
 performs baseline approaches"&amp;", achieving data
 completeness up to 73.3% and precision up to
 97.3%. We additionally conduct an ablation
 study demonstrating the contribution of each
 agent to the Committee’s performance. This
 work is released as an open-source tool for the
 research"&amp;" community")</f>
        <v>Many research areas rely on data from the
 web to gain insights and test their methods.
 However, collecting comprehensive research
 datasets often demands manually reviewing
 many web pages to identify and record relevant
 data points, which is labor-intensive and sus-
 ceptible to error. While the emergence of large
 language models (LLM)-powered web agents
 has begun to automate parts of this process,
 they often struggle to ensure the validity of the
 data they collect. Indeed, these agents exhibit
 several recurring failure modes—including hal-
 lucinating or omitting values, misinterpreting
 page semantics, and failing to detect invalid
 information—which are subtle and difficult
 to detect and correct manually. To address
 this, we introduce the AI Committee, a novel
 model-agnostic multi-agent system that auto-
 mates the process of validating and remediating
 web-sourced datasets. Each agent is special-
 ized in a distinct task in the data quality assur-
 ance pipeline, from source scrutiny and fact-
 checking to data remediation and integrity val-
 idation. The AI Committee leverages various
 LLM capabilities—including in-context learn-
 ing for dataset adaptation, chain-of-thought rea-
 soning for complex semantic validation, and a
 self-correction loop for data remediation—all
 without task-specific training. We demonstrate
 the effectiveness of our system by applying
 it to three real-world datasets, showing that it
 generalizes across LLMs and significantly out-
 performs baseline approaches, achieving data
 completeness up to 73.3% and precision up to
 97.3%. We additionally conduct an ablation
 study demonstrating the contribution of each
 agent to the Committee’s performance. This
 work is released as an open-source tool for the
 research community</v>
      </c>
      <c r="D29" s="2" t="str">
        <f ca="1">IFERROR(__xludf.DUMMYFUNCTION("""COMPUTED_VALUE"""),"Sunith Vallabhaneni ~Sunith_Vallabhaneni , Thomas Berkane, Maimuna S. Majumder ")</f>
        <v xml:space="preserve">Sunith Vallabhaneni ~Sunith_Vallabhaneni , Thomas Berkane, Maimuna S. Majumder </v>
      </c>
      <c r="E29" s="2" t="str">
        <f ca="1">IFERROR(__xludf.DUMMYFUNCTION("""COMPUTED_VALUE"""),"Sunith Vallabhaneni")</f>
        <v>Sunith Vallabhaneni</v>
      </c>
      <c r="F29" s="2" t="str">
        <f ca="1">IFERROR(__xludf.DUMMYFUNCTION("""COMPUTED_VALUE"""),"Demo")</f>
        <v>Demo</v>
      </c>
      <c r="G29" s="6" t="s">
        <v>17</v>
      </c>
      <c r="H29" s="2" t="str">
        <f ca="1">IFERROR(__xludf.DUMMYFUNCTION("""COMPUTED_VALUE"""),"POSTER HALL")</f>
        <v>POSTER HALL</v>
      </c>
      <c r="I29" t="s">
        <v>19</v>
      </c>
      <c r="J29" s="2" t="str">
        <f ca="1">IFERROR(__xludf.DUMMYFUNCTION("""COMPUTED_VALUE"""),"Thur. Mar 26")</f>
        <v>Thur. Mar 26</v>
      </c>
      <c r="K29" s="2" t="str">
        <f ca="1">IFERROR(__xludf.DUMMYFUNCTION("""COMPUTED_VALUE"""),"09:00-10:30")</f>
        <v>09:00-10:30</v>
      </c>
      <c r="L29" s="2"/>
    </row>
    <row r="30" spans="1:12" ht="15.75" hidden="1" customHeight="1" x14ac:dyDescent="0.15">
      <c r="A30" s="2" t="str">
        <f ca="1">IFERROR(__xludf.DUMMYFUNCTION("""COMPUTED_VALUE"""),"3-DEMO")</f>
        <v>3-DEMO</v>
      </c>
      <c r="B30" s="2" t="str">
        <f ca="1">IFERROR(__xludf.DUMMYFUNCTION("""COMPUTED_VALUE"""),"Stakeholder Suite: A Unified AI Framework for Mapping Actors, Topics and Arguments in Public Debates")</f>
        <v>Stakeholder Suite: A Unified AI Framework for Mapping Actors, Topics and Arguments in Public Debates</v>
      </c>
      <c r="C30" s="2" t="str">
        <f ca="1">IFERROR(__xludf.DUMMYFUNCTION("""COMPUTED_VALUE"""),"Public debates surrounding infrastructure and energy projects involve complex networks of stakeholders, arguments, and evolving narratives. Understanding these dynamics is crucial for anticipating controversies and informing engagement strategies, yet exi"&amp;"sting tools in media intelligence largely rely on descriptive analytics with limited transparency. This paper presents **Stakeholder Suite**, a framework deployed in operational contexts for mapping actors, topics, and arguments within public debates. The"&amp;" system combines actor detection, topic modeling, argument extraction and stance classification in a unified pipeline. Tested on multiple energy infrastructure projects as a case study, the approach delivers fine-grained, source-grounded insights while re"&amp;"maining adaptable to diverse domains. The framework achieves strong retrieval precision and stance accuracy, producing arguments judged relevant in 75\% of pilot use cases. Beyond quantitative metrics, the tool has proven effective for operational use: he"&amp;"lping project teams visualize networks of influence, identify emerging controversies, and support evidence-based decision-making.")</f>
        <v>Public debates surrounding infrastructure and energy projects involve complex networks of stakeholders, arguments, and evolving narratives. Understanding these dynamics is crucial for anticipating controversies and informing engagement strategies, yet existing tools in media intelligence largely rely on descriptive analytics with limited transparency. This paper presents **Stakeholder Suite**, a framework deployed in operational contexts for mapping actors, topics, and arguments within public debates. The system combines actor detection, topic modeling, argument extraction and stance classification in a unified pipeline. Tested on multiple energy infrastructure projects as a case study, the approach delivers fine-grained, source-grounded insights while remaining adaptable to diverse domains. The framework achieves strong retrieval precision and stance accuracy, producing arguments judged relevant in 75\% of pilot use cases. Beyond quantitative metrics, the tool has proven effective for operational use: helping project teams visualize networks of influence, identify emerging controversies, and support evidence-based decision-making.</v>
      </c>
      <c r="D30" s="2" t="str">
        <f ca="1">IFERROR(__xludf.DUMMYFUNCTION("""COMPUTED_VALUE"""),"Mohamed Chenene Mohamed Chenene , Jeanne Rouhier, Jean Daniélou, Mihir Sarkar, Elena Cabrio ")</f>
        <v xml:space="preserve">Mohamed Chenene Mohamed Chenene , Jeanne Rouhier, Jean Daniélou, Mihir Sarkar, Elena Cabrio </v>
      </c>
      <c r="E30" s="2" t="str">
        <f ca="1">IFERROR(__xludf.DUMMYFUNCTION("""COMPUTED_VALUE"""),"CHENENE Mohamed")</f>
        <v>CHENENE Mohamed</v>
      </c>
      <c r="F30" s="2" t="str">
        <f ca="1">IFERROR(__xludf.DUMMYFUNCTION("""COMPUTED_VALUE"""),"Demo")</f>
        <v>Demo</v>
      </c>
      <c r="G30" s="6" t="s">
        <v>17</v>
      </c>
      <c r="H30" s="2" t="str">
        <f ca="1">IFERROR(__xludf.DUMMYFUNCTION("""COMPUTED_VALUE"""),"POSTER HALL")</f>
        <v>POSTER HALL</v>
      </c>
      <c r="I30" t="s">
        <v>19</v>
      </c>
      <c r="J30" s="2" t="str">
        <f ca="1">IFERROR(__xludf.DUMMYFUNCTION("""COMPUTED_VALUE"""),"Thur. Mar 26")</f>
        <v>Thur. Mar 26</v>
      </c>
      <c r="K30" s="2" t="str">
        <f ca="1">IFERROR(__xludf.DUMMYFUNCTION("""COMPUTED_VALUE"""),"09:00-10:30")</f>
        <v>09:00-10:30</v>
      </c>
      <c r="L30" s="2"/>
    </row>
    <row r="31" spans="1:12" ht="15.75" hidden="1" customHeight="1" x14ac:dyDescent="0.15">
      <c r="A31" s="2" t="str">
        <f ca="1">IFERROR(__xludf.DUMMYFUNCTION("""COMPUTED_VALUE"""),"64-DEMO")</f>
        <v>64-DEMO</v>
      </c>
      <c r="B31" s="2" t="str">
        <f ca="1">IFERROR(__xludf.DUMMYFUNCTION("""COMPUTED_VALUE"""),"Infherno: End-to-end Agent-based FHIR Resource Synthesis from Free-form Clinical Notes")</f>
        <v>Infherno: End-to-end Agent-based FHIR Resource Synthesis from Free-form Clinical Notes</v>
      </c>
      <c r="C31" s="2" t="str">
        <f ca="1">IFERROR(__xludf.DUMMYFUNCTION("""COMPUTED_VALUE"""),"For clinical data integration and healthcare services, the HL7 FHIR standard has established itself as a desirable format for interoperability between complex health data. Previous attempts at automating the translation from free-form clinical notes into "&amp;"structured FHIR resources address narrowly defined tasks and rely on modular approaches or LLMs with instruction tuning and constrained decoding. As those solutions frequently suffer from limited generalizability and structural inconformity, we propose an"&amp;" end-to-end framework powered by LLM agents, code execution, and healthcare terminology database tools to address these issues. Our solution, called Infherno, is designed to adhere to the FHIR document schema and competes well with a human baseline in pre"&amp;"dicting FHIR resources from unstructured text. The implementation features a front end for custom and synthetic data and both local and proprietary models, supporting clinical data integration processes and interoperability across institutions. Gemini 2.5"&amp;"-Pro excels in our evaluation on synthetic and clinical datasets, yet ambiguity and feasibility of collecting ground-truth data remain open problems.")</f>
        <v>For clinical data integration and healthcare services, the HL7 FHIR standard has established itself as a desirable format for interoperability between complex health data. Previous attempts at automating the translation from free-form clinical notes into structured FHIR resources address narrowly defined tasks and rely on modular approaches or LLMs with instruction tuning and constrained decoding. As those solutions frequently suffer from limited generalizability and structural inconformity, we propose an end-to-end framework powered by LLM agents, code execution, and healthcare terminology database tools to address these issues. Our solution, called Infherno, is designed to adhere to the FHIR document schema and competes well with a human baseline in predicting FHIR resources from unstructured text. The implementation features a front end for custom and synthetic data and both local and proprietary models, supporting clinical data integration processes and interoperability across institutions. Gemini 2.5-Pro excels in our evaluation on synthetic and clinical datasets, yet ambiguity and feasibility of collecting ground-truth data remain open problems.</v>
      </c>
      <c r="D31" s="2" t="str">
        <f ca="1">IFERROR(__xludf.DUMMYFUNCTION("""COMPUTED_VALUE"""),"Johann Frei, Nils Feldhus, Lisa Raithel, Roland Roller, Alexander Meyer, Frank Kramer")</f>
        <v>Johann Frei, Nils Feldhus, Lisa Raithel, Roland Roller, Alexander Meyer, Frank Kramer</v>
      </c>
      <c r="E31" s="2" t="str">
        <f ca="1">IFERROR(__xludf.DUMMYFUNCTION("""COMPUTED_VALUE"""),"Nils Feldhus")</f>
        <v>Nils Feldhus</v>
      </c>
      <c r="F31" s="2" t="str">
        <f ca="1">IFERROR(__xludf.DUMMYFUNCTION("""COMPUTED_VALUE"""),"Demo")</f>
        <v>Demo</v>
      </c>
      <c r="G31" s="6" t="s">
        <v>17</v>
      </c>
      <c r="H31" s="2" t="str">
        <f ca="1">IFERROR(__xludf.DUMMYFUNCTION("""COMPUTED_VALUE"""),"POSTER HALL")</f>
        <v>POSTER HALL</v>
      </c>
      <c r="I31" t="s">
        <v>19</v>
      </c>
      <c r="J31" s="2" t="str">
        <f ca="1">IFERROR(__xludf.DUMMYFUNCTION("""COMPUTED_VALUE"""),"Thur. Mar 26")</f>
        <v>Thur. Mar 26</v>
      </c>
      <c r="K31" s="2" t="str">
        <f ca="1">IFERROR(__xludf.DUMMYFUNCTION("""COMPUTED_VALUE"""),"09:00-10:30")</f>
        <v>09:00-10:30</v>
      </c>
      <c r="L31" s="2"/>
    </row>
    <row r="32" spans="1:12" ht="15.75" hidden="1" customHeight="1" x14ac:dyDescent="0.15">
      <c r="A32" s="2" t="str">
        <f ca="1">IFERROR(__xludf.DUMMYFUNCTION("""COMPUTED_VALUE"""),"95-DEMO")</f>
        <v>95-DEMO</v>
      </c>
      <c r="B32" s="2" t="str">
        <f ca="1">IFERROR(__xludf.DUMMYFUNCTION("""COMPUTED_VALUE"""),"Integrity Shield A System for Ethical AI Use &amp; Authorship Transparency in Assessments")</f>
        <v>Integrity Shield A System for Ethical AI Use &amp; Authorship Transparency in Assessments</v>
      </c>
      <c r="C32" s="2" t="str">
        <f ca="1">IFERROR(__xludf.DUMMYFUNCTION("""COMPUTED_VALUE"""),"Large language models (LLMs) can now solve entire exams directly from uploaded PDF assessments, raising urgent concerns about academic integrity and the reliability of grades and credentials. Existing watermarking techniques either operate at the token le"&amp;"vel or assume control over the model's decoding process, making them ineffective when students query proprietary black-box systems with instructor-provided documents. We present Integrity Shield, a document-layer watermarking system that embeds schema-awa"&amp;"re, item-level watermarks into assessment PDFs while keeping their human-visible appearance unchanged. These watermarks consistently prevent MLLMs from answering shielded exam PDFs and encode stable, item-level signatures that can be reliably recovered fr"&amp;"om model or student responses. Across 30 multi-page exams spanning STEM, humanities, and medical reasoning, Integrity Shield achieves exceptionally high prevention (91–94% exam-level blocking) and strong detection reliability (89–93% signature retrieval) "&amp;"across four commercial MLLMs. Our demo showcases an interactive interface where instructors upload an exam, preview watermark behavior, and inspect pre/post AI performance and authorship evidence.")</f>
        <v>Large language models (LLMs) can now solve entire exams directly from uploaded PDF assessments, raising urgent concerns about academic integrity and the reliability of grades and credentials. Existing watermarking techniques either operate at the token level or assume control over the model's decoding process, making them ineffective when students query proprietary black-box systems with instructor-provided documents. We present Integrity Shield, a document-layer watermarking system that embeds schema-aware, item-level watermarks into assessment PDFs while keeping their human-visible appearance unchanged. These watermarks consistently prevent MLLMs from answering shielded exam PDFs and encode stable, item-level signatures that can be reliably recovered from model or student responses. Across 30 multi-page exams spanning STEM, humanities, and medical reasoning, Integrity Shield achieves exceptionally high prevention (91–94% exam-level blocking) and strong detection reliability (89–93% signature retrieval) across four commercial MLLMs. Our demo showcases an interactive interface where instructors upload an exam, preview watermark behavior, and inspect pre/post AI performance and authorship evidence.</v>
      </c>
      <c r="D32" s="2" t="str">
        <f ca="1">IFERROR(__xludf.DUMMYFUNCTION("""COMPUTED_VALUE"""),"Ashish Raj Shekhar, Shiven Agarwal, Priyanuj Bordoloi, Yash Shah, Tejas Anvekar, Vivek Gupta")</f>
        <v>Ashish Raj Shekhar, Shiven Agarwal, Priyanuj Bordoloi, Yash Shah, Tejas Anvekar, Vivek Gupta</v>
      </c>
      <c r="E32" s="2" t="str">
        <f ca="1">IFERROR(__xludf.DUMMYFUNCTION("""COMPUTED_VALUE"""),"Ashish Raj Shekhar")</f>
        <v>Ashish Raj Shekhar</v>
      </c>
      <c r="F32" s="2" t="str">
        <f ca="1">IFERROR(__xludf.DUMMYFUNCTION("""COMPUTED_VALUE"""),"Demo")</f>
        <v>Demo</v>
      </c>
      <c r="G32" s="6" t="s">
        <v>17</v>
      </c>
      <c r="H32" s="2" t="str">
        <f ca="1">IFERROR(__xludf.DUMMYFUNCTION("""COMPUTED_VALUE"""),"POSTER HALL")</f>
        <v>POSTER HALL</v>
      </c>
      <c r="I32" t="s">
        <v>19</v>
      </c>
      <c r="J32" s="2" t="str">
        <f ca="1">IFERROR(__xludf.DUMMYFUNCTION("""COMPUTED_VALUE"""),"Thur. Mar 26")</f>
        <v>Thur. Mar 26</v>
      </c>
      <c r="K32" s="2" t="str">
        <f ca="1">IFERROR(__xludf.DUMMYFUNCTION("""COMPUTED_VALUE"""),"09:00-10:30")</f>
        <v>09:00-10:30</v>
      </c>
      <c r="L32" s="2"/>
    </row>
    <row r="33" spans="1:12" ht="15.75" hidden="1" customHeight="1" x14ac:dyDescent="0.15">
      <c r="A33" s="2" t="str">
        <f ca="1">IFERROR(__xludf.DUMMYFUNCTION("""COMPUTED_VALUE"""),"100-DEMO")</f>
        <v>100-DEMO</v>
      </c>
      <c r="B33" s="2" t="str">
        <f ca="1">IFERROR(__xludf.DUMMYFUNCTION("""COMPUTED_VALUE"""),"AITutor-EvalKit: Exploring the Capabilities of AI Tutors")</f>
        <v>AITutor-EvalKit: Exploring the Capabilities of AI Tutors</v>
      </c>
      <c r="C33" s="2" t="str">
        <f ca="1">IFERROR(__xludf.DUMMYFUNCTION("""COMPUTED_VALUE"""),"We present AITutor-EvalKit, an application that uses language technology to evaluate the pedagogical quality of AI tutors, provides software for demonstration and evaluation, as well as model inspection and data visualization. This tool is aimed at educat"&amp;"ion stakeholders as well as *ACL community at large, as it supports learning and can also be used to collect user feedback and annotation.")</f>
        <v>We present AITutor-EvalKit, an application that uses language technology to evaluate the pedagogical quality of AI tutors, provides software for demonstration and evaluation, as well as model inspection and data visualization. This tool is aimed at education stakeholders as well as *ACL community at large, as it supports learning and can also be used to collect user feedback and annotation.</v>
      </c>
      <c r="D33" s="2" t="str">
        <f ca="1">IFERROR(__xludf.DUMMYFUNCTION("""COMPUTED_VALUE"""),"Numaan Naeem, Kaushal Kumar Maurya, Kseniia Petukhova, Ekaterina Kochmar")</f>
        <v>Numaan Naeem, Kaushal Kumar Maurya, Kseniia Petukhova, Ekaterina Kochmar</v>
      </c>
      <c r="E33" s="2" t="str">
        <f ca="1">IFERROR(__xludf.DUMMYFUNCTION("""COMPUTED_VALUE"""),"Kaushal Kumar Maurya")</f>
        <v>Kaushal Kumar Maurya</v>
      </c>
      <c r="F33" s="2" t="str">
        <f ca="1">IFERROR(__xludf.DUMMYFUNCTION("""COMPUTED_VALUE"""),"Demo")</f>
        <v>Demo</v>
      </c>
      <c r="G33" s="6" t="s">
        <v>17</v>
      </c>
      <c r="H33" s="2" t="str">
        <f ca="1">IFERROR(__xludf.DUMMYFUNCTION("""COMPUTED_VALUE"""),"POSTER HALL")</f>
        <v>POSTER HALL</v>
      </c>
      <c r="I33" t="s">
        <v>87</v>
      </c>
      <c r="J33" s="2" t="str">
        <f ca="1">IFERROR(__xludf.DUMMYFUNCTION("""COMPUTED_VALUE"""),"Thur. Mar 26")</f>
        <v>Thur. Mar 26</v>
      </c>
      <c r="K33" s="2" t="str">
        <f ca="1">IFERROR(__xludf.DUMMYFUNCTION("""COMPUTED_VALUE"""),"11:00-12:30")</f>
        <v>11:00-12:30</v>
      </c>
      <c r="L33" s="2"/>
    </row>
    <row r="34" spans="1:12" ht="15.75" customHeight="1" x14ac:dyDescent="0.15">
      <c r="A34" s="2" t="str">
        <f ca="1">IFERROR(__xludf.DUMMYFUNCTION("""COMPUTED_VALUE"""),"56-DEMO")</f>
        <v>56-DEMO</v>
      </c>
      <c r="B34" s="2" t="str">
        <f ca="1">IFERROR(__xludf.DUMMYFUNCTION("""COMPUTED_VALUE"""),"FiMMIA: scaling semantic perturbation-based membership inference across modalities")</f>
        <v>FiMMIA: scaling semantic perturbation-based membership inference across modalities</v>
      </c>
      <c r="C34" s="2" t="str">
        <f ca="1">IFERROR(__xludf.DUMMYFUNCTION("""COMPUTED_VALUE"""),"Membership Inference Attacks (MIAs) aim to determine whether a specific data point was included in the training set of a target model. Although there are have been numerous methods developed for detecting data contamination in large language models (LLMs)"&amp;", their performance on multimodal LLMs (MLLMs) falls short due to the instabilities introduced through multimodal component adaptation and possible distribution shifts across multiple inputs. In this work, we investigate multimodal membership inference an"&amp;"d address two issues: first, by identifying distribution shifts in the existing datasets, and second, by releasing an extended baseline pipeline to detect them. We also generalize the perturbation-based membership inference methods to MLLMs and release Fi"&amp;"MMIA — a modular Framework for Multimodal MIA. Our approach trains a neural network to analyze the target model's behavior on perturbed inputs, capturing distributional differences between members and non-members. Comprehensive evaluations on various fine"&amp;"-tuned multimodal models demonstrate the effectiveness of our perturbation-based membership inference attacks in multimodal domains.")</f>
        <v>Membership Inference Attacks (MIAs) aim to determine whether a specific data point was included in the training set of a target model. Although there are have been numerous methods developed for detecting data contamination in large language models (LLMs), their performance on multimodal LLMs (MLLMs) falls short due to the instabilities introduced through multimodal component adaptation and possible distribution shifts across multiple inputs. In this work, we investigate multimodal membership inference and address two issues: first, by identifying distribution shifts in the existing datasets, and second, by releasing an extended baseline pipeline to detect them. We also generalize the perturbation-based membership inference methods to MLLMs and release FiMMIA — a modular Framework for Multimodal MIA. Our approach trains a neural network to analyze the target model's behavior on perturbed inputs, capturing distributional differences between members and non-members. Comprehensive evaluations on various fine-tuned multimodal models demonstrate the effectiveness of our perturbation-based membership inference attacks in multimodal domains.</v>
      </c>
      <c r="D34" s="2" t="str">
        <f ca="1">IFERROR(__xludf.DUMMYFUNCTION("""COMPUTED_VALUE"""),"Anton Emelyanov , Sergei Kudriashov, Alena Fenogenova")</f>
        <v>Anton Emelyanov , Sergei Kudriashov, Alena Fenogenova</v>
      </c>
      <c r="E34" s="2" t="str">
        <f ca="1">IFERROR(__xludf.DUMMYFUNCTION("""COMPUTED_VALUE"""),"Anton Emelyanov , Sergei Kudriashov, Alena Fenogenova")</f>
        <v>Anton Emelyanov , Sergei Kudriashov, Alena Fenogenova</v>
      </c>
      <c r="F34" s="2" t="str">
        <f ca="1">IFERROR(__xludf.DUMMYFUNCTION("""COMPUTED_VALUE"""),"Demo")</f>
        <v>Demo</v>
      </c>
      <c r="G34" s="6" t="s">
        <v>17</v>
      </c>
      <c r="H34" s="2" t="str">
        <f ca="1">IFERROR(__xludf.DUMMYFUNCTION("""COMPUTED_VALUE"""),"POSTER HALL")</f>
        <v>POSTER HALL</v>
      </c>
      <c r="I34" t="s">
        <v>43</v>
      </c>
      <c r="J34" s="2" t="str">
        <f ca="1">IFERROR(__xludf.DUMMYFUNCTION("""COMPUTED_VALUE"""),"Fri. Mar 27")</f>
        <v>Fri. Mar 27</v>
      </c>
      <c r="K34" s="2" t="str">
        <f ca="1">IFERROR(__xludf.DUMMYFUNCTION("""COMPUTED_VALUE"""),"11:00-12:30")</f>
        <v>11:00-12:30</v>
      </c>
      <c r="L34" s="2"/>
    </row>
    <row r="35" spans="1:12" ht="15.75" customHeight="1" x14ac:dyDescent="0.15">
      <c r="A35" s="2" t="str">
        <f ca="1">IFERROR(__xludf.DUMMYFUNCTION("""COMPUTED_VALUE"""),"71-DEMO")</f>
        <v>71-DEMO</v>
      </c>
      <c r="B35" s="2" t="str">
        <f ca="1">IFERROR(__xludf.DUMMYFUNCTION("""COMPUTED_VALUE"""),"Similar, but why? An Explainability Toolkit for Text Similarity")</f>
        <v>Similar, but why? An Explainability Toolkit for Text Similarity</v>
      </c>
      <c r="C35" s="2" t="str">
        <f ca="1">IFERROR(__xludf.DUMMYFUNCTION("""COMPUTED_VALUE"""),"Explaining text similarity and developing interpretable models are emergent research challenges (Opitz et al., 2025).
 We release XPLAINSIM, the first Python package that makes three different approaches for explaining textual similarity easily accessi"&amp;"ble: 1. A token attribution method that explains how individual word input interactions contribute to the predicted similarity of any embedding model; 2. A method for inferring structured neural embedding spaces that capture explainable aspects of text, a"&amp;"nd 3. A symbolic approach that explains textual similarity transparently through parsed meaning representations. We demonstrate the value of our package through intuitive examples and three focused empirical studies. The first evaluates interpretability m"&amp;"ethods for constructing cross-lingual token alignments. The second examines how modern information retrieval methods handle stop words. The third revisits a long-standing question in computational linguistics: the distinction between relatedness and simil"&amp;"arity.
 Code and demo: https://github.com/flipz357/XPLAINSIM-landing-page")</f>
        <v>Explaining text similarity and developing interpretable models are emergent research challenges (Opitz et al., 2025).
 We release XPLAINSIM, the first Python package that makes three different approaches for explaining textual similarity easily accessible: 1. A token attribution method that explains how individual word input interactions contribute to the predicted similarity of any embedding model; 2. A method for inferring structured neural embedding spaces that capture explainable aspects of text, and 3. A symbolic approach that explains textual similarity transparently through parsed meaning representations. We demonstrate the value of our package through intuitive examples and three focused empirical studies. The first evaluates interpretability methods for constructing cross-lingual token alignments. The second examines how modern information retrieval methods handle stop words. The third revisits a long-standing question in computational linguistics: the distinction between relatedness and similarity.
 Code and demo: https://github.com/flipz357/XPLAINSIM-landing-page</v>
      </c>
      <c r="D35" s="2" t="str">
        <f ca="1">IFERROR(__xludf.DUMMYFUNCTION("""COMPUTED_VALUE"""),"Juri Opitz, Andrianos Michail, Lucas Moeller, Sebastian Padó, Simon Clematide")</f>
        <v>Juri Opitz, Andrianos Michail, Lucas Moeller, Sebastian Padó, Simon Clematide</v>
      </c>
      <c r="E35" s="2" t="str">
        <f ca="1">IFERROR(__xludf.DUMMYFUNCTION("""COMPUTED_VALUE"""),"Juri Opitz")</f>
        <v>Juri Opitz</v>
      </c>
      <c r="F35" s="2" t="str">
        <f ca="1">IFERROR(__xludf.DUMMYFUNCTION("""COMPUTED_VALUE"""),"Demo")</f>
        <v>Demo</v>
      </c>
      <c r="G35" s="6" t="s">
        <v>17</v>
      </c>
      <c r="H35" s="2" t="str">
        <f ca="1">IFERROR(__xludf.DUMMYFUNCTION("""COMPUTED_VALUE"""),"POSTER HALL")</f>
        <v>POSTER HALL</v>
      </c>
      <c r="I35" t="s">
        <v>43</v>
      </c>
      <c r="J35" s="2" t="str">
        <f ca="1">IFERROR(__xludf.DUMMYFUNCTION("""COMPUTED_VALUE"""),"Fri. Mar 27")</f>
        <v>Fri. Mar 27</v>
      </c>
      <c r="K35" s="2" t="str">
        <f ca="1">IFERROR(__xludf.DUMMYFUNCTION("""COMPUTED_VALUE"""),"11:00-12:30")</f>
        <v>11:00-12:30</v>
      </c>
      <c r="L35" s="2"/>
    </row>
    <row r="36" spans="1:12" ht="15.75" customHeight="1" x14ac:dyDescent="0.15">
      <c r="A36" s="2" t="str">
        <f ca="1">IFERROR(__xludf.DUMMYFUNCTION("""COMPUTED_VALUE"""),"78-DEMO")</f>
        <v>78-DEMO</v>
      </c>
      <c r="B36" s="2" t="str">
        <f ca="1">IFERROR(__xludf.DUMMYFUNCTION("""COMPUTED_VALUE"""),"PromptLab: A Collaborative Platform for Prompt Engineering and Dataset Curation")</f>
        <v>PromptLab: A Collaborative Platform for Prompt Engineering and Dataset Curation</v>
      </c>
      <c r="C36" s="2" t="str">
        <f ca="1">IFERROR(__xludf.DUMMYFUNCTION("""COMPUTED_VALUE"""),"PromptLab is a web-based platform for collaborative prompt engineering across diverse natural language processing tasks and datasets. The platform addresses primary challenges in prompt development, including template creation, collaborative review, and q"&amp;"uality assurance through a comprehensive workflow that supports both individual researchers and team-based projects. PromptLab integrates with HuggingFace and provides AI-assisted prompt generation via OpenRouter, supporting real-time validation with mult"&amp;"iple Large Language Models (LLMs). The platform features a flexible templating system using Jinja2, role-based project management, peer review processes, and supports programmatic access through RESTful APIs. To ensure data privacy and support sensitive r"&amp;"esearch environments, PromptLab includes an easy CI/CD pipeline for self-hosted deployments and institutional control. We demonstrate the platform's effectiveness through two evaluations: a controlled comparison study with six researchers across five benc"&amp;"hmark datasets and 13 models with 90 prompts; and a comprehensive case study in instruction tuning research, where over 350 prompts across 80+ datasets have been developed and validated by multiple team members. The platform is available at https://prompt"&amp;"lab.up.railway.app.")</f>
        <v>PromptLab is a web-based platform for collaborative prompt engineering across diverse natural language processing tasks and datasets. The platform addresses primary challenges in prompt development, including template creation, collaborative review, and quality assurance through a comprehensive workflow that supports both individual researchers and team-based projects. PromptLab integrates with HuggingFace and provides AI-assisted prompt generation via OpenRouter, supporting real-time validation with multiple Large Language Models (LLMs). The platform features a flexible templating system using Jinja2, role-based project management, peer review processes, and supports programmatic access through RESTful APIs. To ensure data privacy and support sensitive research environments, PromptLab includes an easy CI/CD pipeline for self-hosted deployments and institutional control. We demonstrate the platform's effectiveness through two evaluations: a controlled comparison study with six researchers across five benchmark datasets and 13 models with 90 prompts; and a comprehensive case study in instruction tuning research, where over 350 prompts across 80+ datasets have been developed and validated by multiple team members. The platform is available at https://promptlab.up.railway.app.</v>
      </c>
      <c r="D36" s="2" t="str">
        <f ca="1">IFERROR(__xludf.DUMMYFUNCTION("""COMPUTED_VALUE"""),"Maged S. Al-shaibani, Zaid Alyafeai, Dania Refai, Nawaf Alomari, Ahmed Ashraf, Mais Alheraki, Mustafa Alturki, Hamzah Luqman, Irfan Ahmad")</f>
        <v>Maged S. Al-shaibani, Zaid Alyafeai, Dania Refai, Nawaf Alomari, Ahmed Ashraf, Mais Alheraki, Mustafa Alturki, Hamzah Luqman, Irfan Ahmad</v>
      </c>
      <c r="E36" s="2" t="str">
        <f ca="1">IFERROR(__xludf.DUMMYFUNCTION("""COMPUTED_VALUE"""),"Irfan Ahmad")</f>
        <v>Irfan Ahmad</v>
      </c>
      <c r="F36" s="2" t="str">
        <f ca="1">IFERROR(__xludf.DUMMYFUNCTION("""COMPUTED_VALUE"""),"Demo")</f>
        <v>Demo</v>
      </c>
      <c r="G36" s="6" t="s">
        <v>17</v>
      </c>
      <c r="H36" s="2" t="str">
        <f ca="1">IFERROR(__xludf.DUMMYFUNCTION("""COMPUTED_VALUE"""),"POSTER HALL")</f>
        <v>POSTER HALL</v>
      </c>
      <c r="I36" t="s">
        <v>43</v>
      </c>
      <c r="J36" s="2" t="str">
        <f ca="1">IFERROR(__xludf.DUMMYFUNCTION("""COMPUTED_VALUE"""),"Fri. Mar 27")</f>
        <v>Fri. Mar 27</v>
      </c>
      <c r="K36" s="2" t="str">
        <f ca="1">IFERROR(__xludf.DUMMYFUNCTION("""COMPUTED_VALUE"""),"11:00-12:30")</f>
        <v>11:00-12:30</v>
      </c>
      <c r="L36" s="2"/>
    </row>
    <row r="37" spans="1:12" ht="15.75" customHeight="1" x14ac:dyDescent="0.15">
      <c r="A37" t="s">
        <v>2755</v>
      </c>
      <c r="B37" t="s">
        <v>2756</v>
      </c>
      <c r="C37" t="s">
        <v>2757</v>
      </c>
      <c r="D37" t="s">
        <v>2758</v>
      </c>
      <c r="E37" t="s">
        <v>2759</v>
      </c>
      <c r="F37" t="s">
        <v>16</v>
      </c>
      <c r="G37" t="s">
        <v>17</v>
      </c>
      <c r="H37" t="s">
        <v>2687</v>
      </c>
      <c r="I37" t="s">
        <v>29</v>
      </c>
      <c r="J37" t="s">
        <v>30</v>
      </c>
      <c r="K37" t="s">
        <v>21</v>
      </c>
      <c r="L37">
        <v>3</v>
      </c>
    </row>
    <row r="38" spans="1:12" ht="15.75" customHeight="1" x14ac:dyDescent="0.15">
      <c r="A38" t="s">
        <v>2774</v>
      </c>
      <c r="B38" t="s">
        <v>2775</v>
      </c>
      <c r="C38" t="s">
        <v>2776</v>
      </c>
      <c r="D38" t="s">
        <v>2777</v>
      </c>
      <c r="E38" t="s">
        <v>2778</v>
      </c>
      <c r="F38" t="s">
        <v>16</v>
      </c>
      <c r="G38" t="s">
        <v>17</v>
      </c>
      <c r="H38" t="s">
        <v>2687</v>
      </c>
      <c r="I38" t="s">
        <v>29</v>
      </c>
      <c r="J38" t="s">
        <v>30</v>
      </c>
      <c r="K38" t="s">
        <v>21</v>
      </c>
      <c r="L38">
        <v>6</v>
      </c>
    </row>
    <row r="39" spans="1:12" ht="15.75" customHeight="1" x14ac:dyDescent="0.15">
      <c r="A39" t="s">
        <v>2804</v>
      </c>
      <c r="B39" t="s">
        <v>2805</v>
      </c>
      <c r="C39" t="s">
        <v>2806</v>
      </c>
      <c r="D39" t="s">
        <v>2807</v>
      </c>
      <c r="E39" t="s">
        <v>2808</v>
      </c>
      <c r="F39" t="s">
        <v>16</v>
      </c>
      <c r="G39" t="s">
        <v>17</v>
      </c>
      <c r="H39" t="s">
        <v>2687</v>
      </c>
      <c r="I39" s="5" t="s">
        <v>29</v>
      </c>
      <c r="J39" s="5" t="s">
        <v>30</v>
      </c>
      <c r="K39" s="5" t="s">
        <v>21</v>
      </c>
      <c r="L39">
        <v>1</v>
      </c>
    </row>
    <row r="40" spans="1:12" ht="15.75" customHeight="1" x14ac:dyDescent="0.15">
      <c r="A40" t="s">
        <v>2727</v>
      </c>
      <c r="B40" t="s">
        <v>2728</v>
      </c>
      <c r="C40" t="s">
        <v>2729</v>
      </c>
      <c r="D40" t="s">
        <v>2730</v>
      </c>
      <c r="E40" t="s">
        <v>2378</v>
      </c>
      <c r="F40" t="s">
        <v>16</v>
      </c>
      <c r="G40" t="s">
        <v>17</v>
      </c>
      <c r="H40" t="s">
        <v>2687</v>
      </c>
      <c r="I40" t="s">
        <v>29</v>
      </c>
      <c r="J40" t="s">
        <v>30</v>
      </c>
      <c r="K40" t="s">
        <v>21</v>
      </c>
      <c r="L40">
        <v>2</v>
      </c>
    </row>
    <row r="41" spans="1:12" ht="15.75" customHeight="1" x14ac:dyDescent="0.15">
      <c r="A41" t="s">
        <v>543</v>
      </c>
      <c r="B41" s="3" t="s">
        <v>544</v>
      </c>
      <c r="C41" t="s">
        <v>545</v>
      </c>
      <c r="D41" t="s">
        <v>546</v>
      </c>
      <c r="E41" t="s">
        <v>547</v>
      </c>
      <c r="F41" t="s">
        <v>16</v>
      </c>
      <c r="G41" t="s">
        <v>17</v>
      </c>
      <c r="H41" t="s">
        <v>124</v>
      </c>
      <c r="I41" t="s">
        <v>29</v>
      </c>
      <c r="J41" t="s">
        <v>30</v>
      </c>
      <c r="K41" t="s">
        <v>21</v>
      </c>
      <c r="L41">
        <v>1</v>
      </c>
    </row>
    <row r="42" spans="1:12" ht="15.75" customHeight="1" x14ac:dyDescent="0.15">
      <c r="A42" t="s">
        <v>1073</v>
      </c>
      <c r="B42" t="s">
        <v>1074</v>
      </c>
      <c r="C42" t="s">
        <v>1075</v>
      </c>
      <c r="D42" t="s">
        <v>1076</v>
      </c>
      <c r="E42" t="s">
        <v>1077</v>
      </c>
      <c r="F42" t="s">
        <v>16</v>
      </c>
      <c r="G42" t="s">
        <v>17</v>
      </c>
      <c r="H42" t="s">
        <v>124</v>
      </c>
      <c r="I42" t="s">
        <v>29</v>
      </c>
      <c r="J42" t="s">
        <v>30</v>
      </c>
      <c r="K42" t="s">
        <v>21</v>
      </c>
      <c r="L42">
        <v>2</v>
      </c>
    </row>
    <row r="43" spans="1:12" ht="15.75" customHeight="1" x14ac:dyDescent="0.15">
      <c r="A43" t="s">
        <v>1204</v>
      </c>
      <c r="B43" t="s">
        <v>1205</v>
      </c>
      <c r="C43" t="s">
        <v>1206</v>
      </c>
      <c r="D43" t="s">
        <v>1207</v>
      </c>
      <c r="E43" t="s">
        <v>1208</v>
      </c>
      <c r="F43" t="s">
        <v>16</v>
      </c>
      <c r="G43" t="s">
        <v>17</v>
      </c>
      <c r="H43" t="s">
        <v>124</v>
      </c>
      <c r="I43" t="s">
        <v>29</v>
      </c>
      <c r="J43" t="s">
        <v>30</v>
      </c>
      <c r="K43" t="s">
        <v>21</v>
      </c>
      <c r="L43">
        <v>3</v>
      </c>
    </row>
    <row r="44" spans="1:12" ht="15.75" hidden="1" customHeight="1" x14ac:dyDescent="0.15">
      <c r="A44" t="s">
        <v>2717</v>
      </c>
      <c r="B44" t="s">
        <v>2718</v>
      </c>
      <c r="C44" t="s">
        <v>2719</v>
      </c>
      <c r="D44" t="s">
        <v>2720</v>
      </c>
      <c r="E44" t="s">
        <v>2721</v>
      </c>
      <c r="F44" t="s">
        <v>16</v>
      </c>
      <c r="G44" t="s">
        <v>17</v>
      </c>
      <c r="H44" t="s">
        <v>2687</v>
      </c>
      <c r="I44" t="s">
        <v>50</v>
      </c>
      <c r="J44" t="s">
        <v>51</v>
      </c>
      <c r="K44" t="s">
        <v>52</v>
      </c>
      <c r="L44">
        <v>3</v>
      </c>
    </row>
    <row r="45" spans="1:12" ht="15.75" hidden="1" customHeight="1" x14ac:dyDescent="0.15">
      <c r="A45" t="s">
        <v>2751</v>
      </c>
      <c r="B45" t="s">
        <v>2752</v>
      </c>
      <c r="C45" t="s">
        <v>2753</v>
      </c>
      <c r="D45" t="s">
        <v>2754</v>
      </c>
      <c r="E45" t="s">
        <v>2754</v>
      </c>
      <c r="F45" t="s">
        <v>16</v>
      </c>
      <c r="G45" t="s">
        <v>17</v>
      </c>
      <c r="H45" t="s">
        <v>2687</v>
      </c>
      <c r="I45" t="s">
        <v>50</v>
      </c>
      <c r="J45" t="s">
        <v>51</v>
      </c>
      <c r="K45" t="s">
        <v>52</v>
      </c>
      <c r="L45">
        <v>6</v>
      </c>
    </row>
    <row r="46" spans="1:12" ht="15.75" hidden="1" customHeight="1" x14ac:dyDescent="0.15">
      <c r="A46" t="s">
        <v>2760</v>
      </c>
      <c r="B46" t="s">
        <v>2761</v>
      </c>
      <c r="C46" t="s">
        <v>2762</v>
      </c>
      <c r="D46" t="s">
        <v>2763</v>
      </c>
      <c r="E46" t="s">
        <v>2697</v>
      </c>
      <c r="F46" t="s">
        <v>16</v>
      </c>
      <c r="G46" t="s">
        <v>17</v>
      </c>
      <c r="H46" t="s">
        <v>2687</v>
      </c>
      <c r="I46" t="s">
        <v>50</v>
      </c>
      <c r="J46" t="s">
        <v>51</v>
      </c>
      <c r="K46" t="s">
        <v>52</v>
      </c>
      <c r="L46">
        <v>2</v>
      </c>
    </row>
    <row r="47" spans="1:12" ht="15.75" hidden="1" customHeight="1" x14ac:dyDescent="0.15">
      <c r="A47" t="s">
        <v>2869</v>
      </c>
      <c r="B47" t="s">
        <v>2870</v>
      </c>
      <c r="C47" t="s">
        <v>2871</v>
      </c>
      <c r="D47" t="s">
        <v>2872</v>
      </c>
      <c r="E47" t="s">
        <v>2873</v>
      </c>
      <c r="F47" t="s">
        <v>16</v>
      </c>
      <c r="G47" t="s">
        <v>17</v>
      </c>
      <c r="H47" t="s">
        <v>2687</v>
      </c>
      <c r="I47" t="s">
        <v>50</v>
      </c>
      <c r="J47" t="s">
        <v>51</v>
      </c>
      <c r="K47" t="s">
        <v>52</v>
      </c>
      <c r="L47">
        <v>4</v>
      </c>
    </row>
    <row r="48" spans="1:12" ht="15.75" hidden="1" customHeight="1" x14ac:dyDescent="0.15">
      <c r="A48" t="s">
        <v>2907</v>
      </c>
      <c r="B48" t="s">
        <v>2908</v>
      </c>
      <c r="C48" t="s">
        <v>2909</v>
      </c>
      <c r="D48" t="s">
        <v>2910</v>
      </c>
      <c r="E48" t="s">
        <v>2911</v>
      </c>
      <c r="F48" t="s">
        <v>16</v>
      </c>
      <c r="G48" t="s">
        <v>17</v>
      </c>
      <c r="H48" t="s">
        <v>2687</v>
      </c>
      <c r="I48" t="s">
        <v>50</v>
      </c>
      <c r="J48" t="s">
        <v>51</v>
      </c>
      <c r="K48" t="s">
        <v>52</v>
      </c>
      <c r="L48">
        <v>5</v>
      </c>
    </row>
    <row r="49" spans="1:12" ht="15.75" hidden="1" customHeight="1" x14ac:dyDescent="0.15">
      <c r="A49" t="s">
        <v>498</v>
      </c>
      <c r="B49" t="s">
        <v>499</v>
      </c>
      <c r="C49" t="s">
        <v>500</v>
      </c>
      <c r="D49" t="s">
        <v>501</v>
      </c>
      <c r="E49" t="s">
        <v>502</v>
      </c>
      <c r="F49" t="s">
        <v>16</v>
      </c>
      <c r="G49" t="s">
        <v>17</v>
      </c>
      <c r="H49" t="s">
        <v>124</v>
      </c>
      <c r="I49" t="s">
        <v>50</v>
      </c>
      <c r="J49" t="s">
        <v>51</v>
      </c>
      <c r="K49" t="s">
        <v>52</v>
      </c>
      <c r="L49">
        <v>1</v>
      </c>
    </row>
    <row r="50" spans="1:12" ht="15.75" hidden="1" customHeight="1" x14ac:dyDescent="0.15">
      <c r="A50" t="s">
        <v>697</v>
      </c>
      <c r="B50" t="s">
        <v>698</v>
      </c>
      <c r="C50" t="s">
        <v>699</v>
      </c>
      <c r="D50" t="s">
        <v>700</v>
      </c>
      <c r="E50" t="s">
        <v>701</v>
      </c>
      <c r="F50" t="s">
        <v>16</v>
      </c>
      <c r="G50" t="s">
        <v>17</v>
      </c>
      <c r="H50" t="s">
        <v>124</v>
      </c>
      <c r="I50" t="s">
        <v>50</v>
      </c>
      <c r="J50" t="s">
        <v>51</v>
      </c>
      <c r="K50" t="s">
        <v>52</v>
      </c>
      <c r="L50">
        <v>2</v>
      </c>
    </row>
    <row r="51" spans="1:12" ht="15.75" hidden="1" customHeight="1" x14ac:dyDescent="0.15">
      <c r="A51" t="s">
        <v>727</v>
      </c>
      <c r="B51" t="s">
        <v>728</v>
      </c>
      <c r="C51" t="s">
        <v>729</v>
      </c>
      <c r="D51" t="s">
        <v>730</v>
      </c>
      <c r="E51" t="s">
        <v>731</v>
      </c>
      <c r="F51" t="s">
        <v>16</v>
      </c>
      <c r="G51" t="s">
        <v>17</v>
      </c>
      <c r="H51" t="s">
        <v>124</v>
      </c>
      <c r="I51" t="s">
        <v>50</v>
      </c>
      <c r="J51" t="s">
        <v>51</v>
      </c>
      <c r="K51" t="s">
        <v>52</v>
      </c>
      <c r="L51">
        <v>3</v>
      </c>
    </row>
    <row r="52" spans="1:12" ht="15.75" hidden="1" customHeight="1" x14ac:dyDescent="0.15">
      <c r="A52" t="s">
        <v>1419</v>
      </c>
      <c r="B52" t="s">
        <v>1420</v>
      </c>
      <c r="C52" t="s">
        <v>1421</v>
      </c>
      <c r="D52" t="s">
        <v>1422</v>
      </c>
      <c r="E52" t="s">
        <v>1423</v>
      </c>
      <c r="F52" t="s">
        <v>16</v>
      </c>
      <c r="G52" t="s">
        <v>17</v>
      </c>
      <c r="H52" t="s">
        <v>124</v>
      </c>
      <c r="I52" t="s">
        <v>50</v>
      </c>
      <c r="J52" t="s">
        <v>51</v>
      </c>
      <c r="K52" t="s">
        <v>52</v>
      </c>
      <c r="L52">
        <v>4</v>
      </c>
    </row>
    <row r="53" spans="1:12" ht="15.75" hidden="1" customHeight="1" x14ac:dyDescent="0.15">
      <c r="A53" t="s">
        <v>1563</v>
      </c>
      <c r="B53" t="s">
        <v>1564</v>
      </c>
      <c r="C53" t="s">
        <v>1565</v>
      </c>
      <c r="D53" t="s">
        <v>1566</v>
      </c>
      <c r="E53" t="s">
        <v>1567</v>
      </c>
      <c r="F53" t="s">
        <v>16</v>
      </c>
      <c r="G53" t="s">
        <v>17</v>
      </c>
      <c r="H53" t="s">
        <v>124</v>
      </c>
      <c r="I53" t="s">
        <v>50</v>
      </c>
      <c r="J53" t="s">
        <v>51</v>
      </c>
      <c r="K53" t="s">
        <v>52</v>
      </c>
      <c r="L53">
        <v>5</v>
      </c>
    </row>
    <row r="54" spans="1:12" ht="15.75" hidden="1" customHeight="1" x14ac:dyDescent="0.15">
      <c r="A54" s="1" t="s">
        <v>88</v>
      </c>
      <c r="B54" s="1" t="s">
        <v>89</v>
      </c>
      <c r="C54" s="1" t="s">
        <v>90</v>
      </c>
      <c r="D54" s="1" t="s">
        <v>91</v>
      </c>
      <c r="E54" s="1" t="s">
        <v>92</v>
      </c>
      <c r="F54" s="1" t="s">
        <v>16</v>
      </c>
      <c r="G54" s="1" t="s">
        <v>17</v>
      </c>
      <c r="H54" s="1" t="s">
        <v>42</v>
      </c>
      <c r="I54" s="1" t="s">
        <v>50</v>
      </c>
      <c r="J54" s="1" t="s">
        <v>51</v>
      </c>
      <c r="K54" s="1" t="s">
        <v>52</v>
      </c>
      <c r="L54">
        <v>1</v>
      </c>
    </row>
    <row r="55" spans="1:12" ht="15.75" hidden="1" customHeight="1" x14ac:dyDescent="0.15">
      <c r="A55" t="s">
        <v>423</v>
      </c>
      <c r="B55" t="s">
        <v>424</v>
      </c>
      <c r="C55" t="s">
        <v>425</v>
      </c>
      <c r="D55" t="s">
        <v>426</v>
      </c>
      <c r="E55" t="s">
        <v>427</v>
      </c>
      <c r="F55" t="s">
        <v>16</v>
      </c>
      <c r="G55" t="s">
        <v>17</v>
      </c>
      <c r="H55" t="s">
        <v>42</v>
      </c>
      <c r="I55" t="s">
        <v>50</v>
      </c>
      <c r="J55" t="s">
        <v>51</v>
      </c>
      <c r="K55" t="s">
        <v>52</v>
      </c>
      <c r="L55">
        <v>2</v>
      </c>
    </row>
    <row r="56" spans="1:12" ht="15.75" hidden="1" customHeight="1" x14ac:dyDescent="0.15">
      <c r="A56" t="s">
        <v>1083</v>
      </c>
      <c r="B56" t="s">
        <v>1084</v>
      </c>
      <c r="C56" t="s">
        <v>1085</v>
      </c>
      <c r="D56" t="s">
        <v>1086</v>
      </c>
      <c r="E56" t="s">
        <v>1087</v>
      </c>
      <c r="F56" t="s">
        <v>16</v>
      </c>
      <c r="G56" t="s">
        <v>17</v>
      </c>
      <c r="H56" t="s">
        <v>42</v>
      </c>
      <c r="I56" t="s">
        <v>50</v>
      </c>
      <c r="J56" t="s">
        <v>51</v>
      </c>
      <c r="K56" t="s">
        <v>52</v>
      </c>
      <c r="L56">
        <v>3</v>
      </c>
    </row>
    <row r="57" spans="1:12" ht="15.75" hidden="1" customHeight="1" x14ac:dyDescent="0.15">
      <c r="A57" t="s">
        <v>1389</v>
      </c>
      <c r="B57" t="s">
        <v>1390</v>
      </c>
      <c r="C57" t="s">
        <v>1391</v>
      </c>
      <c r="D57" t="s">
        <v>1392</v>
      </c>
      <c r="E57" t="s">
        <v>1393</v>
      </c>
      <c r="F57" t="s">
        <v>16</v>
      </c>
      <c r="G57" t="s">
        <v>17</v>
      </c>
      <c r="H57" t="s">
        <v>42</v>
      </c>
      <c r="I57" t="s">
        <v>50</v>
      </c>
      <c r="J57" t="s">
        <v>51</v>
      </c>
      <c r="K57" t="s">
        <v>52</v>
      </c>
      <c r="L57">
        <v>4</v>
      </c>
    </row>
    <row r="58" spans="1:12" ht="15.75" hidden="1" customHeight="1" x14ac:dyDescent="0.15">
      <c r="A58" t="s">
        <v>1548</v>
      </c>
      <c r="B58" t="s">
        <v>1549</v>
      </c>
      <c r="C58" t="s">
        <v>1550</v>
      </c>
      <c r="D58" t="s">
        <v>1551</v>
      </c>
      <c r="E58" t="s">
        <v>1552</v>
      </c>
      <c r="F58" t="s">
        <v>16</v>
      </c>
      <c r="G58" t="s">
        <v>17</v>
      </c>
      <c r="H58" t="s">
        <v>42</v>
      </c>
      <c r="I58" t="s">
        <v>50</v>
      </c>
      <c r="J58" t="s">
        <v>51</v>
      </c>
      <c r="K58" t="s">
        <v>52</v>
      </c>
      <c r="L58">
        <v>5</v>
      </c>
    </row>
    <row r="59" spans="1:12" ht="15.75" hidden="1" customHeight="1" x14ac:dyDescent="0.15">
      <c r="A59" s="2" t="str">
        <f ca="1">IFERROR(__xludf.DUMMYFUNCTION("""COMPUTED_VALUE"""),"106-DEMO")</f>
        <v>106-DEMO</v>
      </c>
      <c r="B59" s="2" t="str">
        <f ca="1">IFERROR(__xludf.DUMMYFUNCTION("""COMPUTED_VALUE"""),"AI for Climate Finance: Agentic Retrieval and Multi-Step Reasoning for Early Warning System Investments")</f>
        <v>AI for Climate Finance: Agentic Retrieval and Multi-Step Reasoning for Early Warning System Investments</v>
      </c>
      <c r="C59" s="2" t="str">
        <f ca="1">IFERROR(__xludf.DUMMYFUNCTION("""COMPUTED_VALUE"""),"Tracking financial investments in climate adaptation is complex and expertise-intensive, particularly for Early Warning Systems (EWS), where multilateral development bank (MDB) and fund reports lack standardized financial reporting and appear as heterogen"&amp;"eous PDFs with complex tables and inconsistent layouts.
 We introduce an agent-based Retrieval-Augmented Generation (RAG) system that uses hybrid retrieval and internal chain-of-thought (CoT) reasoning to extract relevant financial data, classify EWS i"&amp;"nvestments, and allocate budgets with grounding evidence spans. While these components are individually established, our contribution is their integration into a domain-specific workflow tailored to heterogeneous MDB reports and numerically grounded EWS b"&amp;"udget allocation. On a manually annotated CREWS Fund corpus, our system outperforms four alternatives (zero-shot classifier, few-shot ``zero rule'' classifier, fine-tuned transformer-based classifier, and few-shot CoT+ICL classifier) on multi-label classi"&amp;"fication and budget allocation, achieving 87% accuracy, 89% precision, and 83% recall. We further benchmark against the Gemini 2.5 Flash AI Assistant on an expert-annotated MDB evidence set co-curated with the World Meteorological Organization (WMO), enab"&amp;"ling a comparative analysis of glass-box agents versus black-box assistants in transparency and performance. The system is publicly deployed and accessible at https://ews-front.vercel.app/ (see Appendix A for demonstration details and Appendix B for datas"&amp;"et statistics and splits). We will open-source all code, LLM generations, and human annotations to support further work on AI-assisted climate finance.")</f>
        <v>Tracking financial investments in climate adaptation is complex and expertise-intensive, particularly for Early Warning Systems (EWS), where multilateral development bank (MDB) and fund reports lack standardized financial reporting and appear as heterogeneous PDFs with complex tables and inconsistent layouts.
 We introduce an agent-based Retrieval-Augmented Generation (RAG) system that uses hybrid retrieval and internal chain-of-thought (CoT) reasoning to extract relevant financial data, classify EWS investments, and allocate budgets with grounding evidence spans. While these components are individually established, our contribution is their integration into a domain-specific workflow tailored to heterogeneous MDB reports and numerically grounded EWS budget allocation. On a manually annotated CREWS Fund corpus, our system outperforms four alternatives (zero-shot classifier, few-shot ``zero rule'' classifier, fine-tuned transformer-based classifier, and few-shot CoT+ICL classifier) on multi-label classification and budget allocation, achieving 87% accuracy, 89% precision, and 83% recall. We further benchmark against the Gemini 2.5 Flash AI Assistant on an expert-annotated MDB evidence set co-curated with the World Meteorological Organization (WMO), enabling a comparative analysis of glass-box agents versus black-box assistants in transparency and performance. The system is publicly deployed and accessible at https://ews-front.vercel.app/ (see Appendix A for demonstration details and Appendix B for dataset statistics and splits). We will open-source all code, LLM generations, and human annotations to support further work on AI-assisted climate finance.</v>
      </c>
      <c r="D59" s="2" t="str">
        <f ca="1">IFERROR(__xludf.DUMMYFUNCTION("""COMPUTED_VALUE"""),"Saeid Vaghefi, Aymane Hachcham, Veronica Grasso, Nakiete Msemo, Chiara Colesanti Senni, Markus Leippold")</f>
        <v>Saeid Vaghefi, Aymane Hachcham, Veronica Grasso, Nakiete Msemo, Chiara Colesanti Senni, Markus Leippold</v>
      </c>
      <c r="E59" s="2" t="str">
        <f ca="1">IFERROR(__xludf.DUMMYFUNCTION("""COMPUTED_VALUE"""),"Saeid Vaghefi, Aymane Hachcham")</f>
        <v>Saeid Vaghefi, Aymane Hachcham</v>
      </c>
      <c r="F59" s="2" t="str">
        <f ca="1">IFERROR(__xludf.DUMMYFUNCTION("""COMPUTED_VALUE"""),"Demo")</f>
        <v>Demo</v>
      </c>
      <c r="G59" s="6" t="s">
        <v>17</v>
      </c>
      <c r="H59" s="2" t="str">
        <f ca="1">IFERROR(__xludf.DUMMYFUNCTION("""COMPUTED_VALUE"""),"POSTER HALL")</f>
        <v>POSTER HALL</v>
      </c>
      <c r="I59" t="s">
        <v>87</v>
      </c>
      <c r="J59" s="2" t="str">
        <f ca="1">IFERROR(__xludf.DUMMYFUNCTION("""COMPUTED_VALUE"""),"Thur. Mar 26")</f>
        <v>Thur. Mar 26</v>
      </c>
      <c r="K59" s="2" t="str">
        <f ca="1">IFERROR(__xludf.DUMMYFUNCTION("""COMPUTED_VALUE"""),"11:00-12:30")</f>
        <v>11:00-12:30</v>
      </c>
      <c r="L59" s="2"/>
    </row>
    <row r="60" spans="1:12" ht="15.75" hidden="1" customHeight="1" x14ac:dyDescent="0.15">
      <c r="A60" s="2" t="str">
        <f ca="1">IFERROR(__xludf.DUMMYFUNCTION("""COMPUTED_VALUE"""),"110-DEMO")</f>
        <v>110-DEMO</v>
      </c>
      <c r="B60" s="2" t="str">
        <f ca="1">IFERROR(__xludf.DUMMYFUNCTION("""COMPUTED_VALUE"""),"SmartMatch: Real-Time Semantic Retrieval for Translation Memory Systems")</f>
        <v>SmartMatch: Real-Time Semantic Retrieval for Translation Memory Systems</v>
      </c>
      <c r="C60" s="2" t="str">
        <f ca="1">IFERROR(__xludf.DUMMYFUNCTION("""COMPUTED_VALUE"""),"Translation Memory (TM) systems are core components of commercial computer-aided translation (CAT) tools. However, traditional fuzzy matching methods often fail to retrieve semantically relevant content when surface similarity is low. We introduce SmartMa"&amp;"tch, an open-source semantic retrieval system for TM that connects modern sentence encoders with a vector database and exposes the full retrieval pipeline through an interactive web-based User Interface (UI). The demo allows users to (i) enter a query seg"&amp;"ment, (ii) switch between embedding backends, and (iii) inspect the top retrieved matches with similarity scores and qualitative cues, and also observe end-to-end latency in real time. We provide a reproducible benchmark on multilingual TM data, reporting"&amp;" retrieval quality using reference-based MT metrics (COMET, BERTScore, METEOR, chrF), together with coverage and latency/throughput trade-offs relevant to production CAT workflows. On DGT-TM, encoder-based retrieval achieves full coverage (100%) with mill"&amp;"isecond-level latency (p50/p90 $\leq$ 6--20\,ms) and attains the strongest semantic-quality scores on the shared query set (e.g., BERTScore up to 0.91 at $k{=}10$), while BM25 remains a strong lightweight lexical baseline with very low latency. Overall, S"&amp;"martMatch bridges recent advances in sentence encoders with the real-time constraints of translation memory retrieval")</f>
        <v>Translation Memory (TM) systems are core components of commercial computer-aided translation (CAT) tools. However, traditional fuzzy matching methods often fail to retrieve semantically relevant content when surface similarity is low. We introduce SmartMatch, an open-source semantic retrieval system for TM that connects modern sentence encoders with a vector database and exposes the full retrieval pipeline through an interactive web-based User Interface (UI). The demo allows users to (i) enter a query segment, (ii) switch between embedding backends, and (iii) inspect the top retrieved matches with similarity scores and qualitative cues, and also observe end-to-end latency in real time. We provide a reproducible benchmark on multilingual TM data, reporting retrieval quality using reference-based MT metrics (COMET, BERTScore, METEOR, chrF), together with coverage and latency/throughput trade-offs relevant to production CAT workflows. On DGT-TM, encoder-based retrieval achieves full coverage (100%) with millisecond-level latency (p50/p90 $\leq$ 6--20\,ms) and attains the strongest semantic-quality scores on the shared query set (e.g., BERTScore up to 0.91 at $k{=}10$), while BM25 remains a strong lightweight lexical baseline with very low latency. Overall, SmartMatch bridges recent advances in sentence encoders with the real-time constraints of translation memory retrieval</v>
      </c>
      <c r="D60" s="2" t="str">
        <f ca="1">IFERROR(__xludf.DUMMYFUNCTION("""COMPUTED_VALUE"""),"Ernesto Luis Estevanell Valladares, Salima Lamsiyah ~Salima_Lamsiyah1 , Alicia Picazo-Izquierdo, Tharindu Ranasinghe, Ruslan Mitkov, Rafael Munoz")</f>
        <v>Ernesto Luis Estevanell Valladares, Salima Lamsiyah ~Salima_Lamsiyah1 , Alicia Picazo-Izquierdo, Tharindu Ranasinghe, Ruslan Mitkov, Rafael Munoz</v>
      </c>
      <c r="E60" s="2" t="str">
        <f ca="1">IFERROR(__xludf.DUMMYFUNCTION("""COMPUTED_VALUE"""),"Salima Lamsiyah")</f>
        <v>Salima Lamsiyah</v>
      </c>
      <c r="F60" s="2" t="str">
        <f ca="1">IFERROR(__xludf.DUMMYFUNCTION("""COMPUTED_VALUE"""),"Demo")</f>
        <v>Demo</v>
      </c>
      <c r="G60" s="6" t="s">
        <v>17</v>
      </c>
      <c r="H60" s="2" t="str">
        <f ca="1">IFERROR(__xludf.DUMMYFUNCTION("""COMPUTED_VALUE"""),"POSTER HALL")</f>
        <v>POSTER HALL</v>
      </c>
      <c r="I60" t="s">
        <v>87</v>
      </c>
      <c r="J60" s="2" t="str">
        <f ca="1">IFERROR(__xludf.DUMMYFUNCTION("""COMPUTED_VALUE"""),"Thur. Mar 26")</f>
        <v>Thur. Mar 26</v>
      </c>
      <c r="K60" s="2" t="str">
        <f ca="1">IFERROR(__xludf.DUMMYFUNCTION("""COMPUTED_VALUE"""),"11:00-12:30")</f>
        <v>11:00-12:30</v>
      </c>
      <c r="L60" s="2"/>
    </row>
    <row r="61" spans="1:12" ht="15.75" hidden="1" customHeight="1" x14ac:dyDescent="0.15">
      <c r="A61" s="2" t="str">
        <f ca="1">IFERROR(__xludf.DUMMYFUNCTION("""COMPUTED_VALUE"""),"115-DEMO")</f>
        <v>115-DEMO</v>
      </c>
      <c r="B61" s="2" t="str">
        <f ca="1">IFERROR(__xludf.DUMMYFUNCTION("""COMPUTED_VALUE"""),"A Virtual Assistant for Architectural Design in a VR Environment")</f>
        <v>A Virtual Assistant for Architectural Design in a VR Environment</v>
      </c>
      <c r="C61" s="2" t="str">
        <f ca="1">IFERROR(__xludf.DUMMYFUNCTION("""COMPUTED_VALUE"""),"Architectural design relies on 3D modeling procedures, generally carried out in Building Information Modeling (BIM) formats. In this setting, architects and designers collaborate on building designs, iterating over many possible versions until a final des"&amp;"ign is agreed upon. However, this iteration is complicated by the fact that any changes need to be made by manually introducing changes to the complex BIM files, which lengthens the design process and makes it difficult to quickly prototype changes. 
 "&amp;"To speed up prototyping, we propose VR-Arch, a virtual assistant that allows users to interact with the BIM file in a virtual reality (VR) environment. This framework enables users to 1) make changes directly in the VR environment, 2) make complex queries"&amp;" about the BIM, and 3) combine these to perform more complex actions. All of this is done via voice commands and processed through a ReAct-based agentic system that selects appropriate tools depending on the query context.
 This multi-tool approach enable"&amp;"s real-time, contextualized interaction through natural language, allowing for a faster and more natural prototyping experience.")</f>
        <v>Architectural design relies on 3D modeling procedures, generally carried out in Building Information Modeling (BIM) formats. In this setting, architects and designers collaborate on building designs, iterating over many possible versions until a final design is agreed upon. However, this iteration is complicated by the fact that any changes need to be made by manually introducing changes to the complex BIM files, which lengthens the design process and makes it difficult to quickly prototype changes. 
 To speed up prototyping, we propose VR-Arch, a virtual assistant that allows users to interact with the BIM file in a virtual reality (VR) environment. This framework enables users to 1) make changes directly in the VR environment, 2) make complex queries about the BIM, and 3) combine these to perform more complex actions. All of this is done via voice commands and processed through a ReAct-based agentic system that selects appropriate tools depending on the query context.
 This multi-tool approach enables real-time, contextualized interaction through natural language, allowing for a faster and more natural prototyping experience.</v>
      </c>
      <c r="D61" s="2" t="str">
        <f ca="1">IFERROR(__xludf.DUMMYFUNCTION("""COMPUTED_VALUE"""),"Ander Salaberria, Oier Ijurco, Markel Ferro, Jiayuan Wang, Iñigo Vilá Muñoz, Roberto de Ioris, Jeremy Barnes, Oier Lopez de Lacalle")</f>
        <v>Ander Salaberria, Oier Ijurco, Markel Ferro, Jiayuan Wang, Iñigo Vilá Muñoz, Roberto de Ioris, Jeremy Barnes, Oier Lopez de Lacalle</v>
      </c>
      <c r="E61" s="2" t="str">
        <f ca="1">IFERROR(__xludf.DUMMYFUNCTION("""COMPUTED_VALUE"""),"Oier Ijurco")</f>
        <v>Oier Ijurco</v>
      </c>
      <c r="F61" s="2" t="str">
        <f ca="1">IFERROR(__xludf.DUMMYFUNCTION("""COMPUTED_VALUE"""),"Demo")</f>
        <v>Demo</v>
      </c>
      <c r="G61" s="6" t="s">
        <v>17</v>
      </c>
      <c r="H61" s="2" t="str">
        <f ca="1">IFERROR(__xludf.DUMMYFUNCTION("""COMPUTED_VALUE"""),"POSTER HALL")</f>
        <v>POSTER HALL</v>
      </c>
      <c r="I61" t="s">
        <v>87</v>
      </c>
      <c r="J61" s="2" t="str">
        <f ca="1">IFERROR(__xludf.DUMMYFUNCTION("""COMPUTED_VALUE"""),"Thur. Mar 26")</f>
        <v>Thur. Mar 26</v>
      </c>
      <c r="K61" s="2" t="str">
        <f ca="1">IFERROR(__xludf.DUMMYFUNCTION("""COMPUTED_VALUE"""),"11:00-12:30")</f>
        <v>11:00-12:30</v>
      </c>
      <c r="L61" s="2"/>
    </row>
    <row r="62" spans="1:12" ht="15.75" hidden="1" customHeight="1" x14ac:dyDescent="0.15">
      <c r="A62" s="2" t="str">
        <f ca="1">IFERROR(__xludf.DUMMYFUNCTION("""COMPUTED_VALUE"""),"50-DEMO")</f>
        <v>50-DEMO</v>
      </c>
      <c r="B62" s="2" t="str">
        <f ca="1">IFERROR(__xludf.DUMMYFUNCTION("""COMPUTED_VALUE"""),"Simplifying Outcomes of Language Model Component Analyses with ELIA")</f>
        <v>Simplifying Outcomes of Language Model Component Analyses with ELIA</v>
      </c>
      <c r="C62" s="2" t="str">
        <f ca="1">IFERROR(__xludf.DUMMYFUNCTION("""COMPUTED_VALUE"""),"While mechanistic interpretability has developed powerful tools to analyze the internal workings of Large Language Models (LLMs), their complexity has created an accessibility gap, limiting their use to specialists. We address this challenge by designing,"&amp;" building, and evaluating ELIA (Explainable Language Interpretability Analysis), an interactive web application that simplifies the outcomes of various language model component analyses for a broader audience. The system integrates three key techniques --"&amp;" Attribution Analysis, Function Vector Analysis, and Circuit Tracing -- and introduces a novel methodology: using a vision-language model to automatically generate natural language explanations (NLEs) for the complex visualizations produced by these metho"&amp;"ds. The effectiveness of this approach was empirically validated through a mixed-methods user study, which revealed a clear preference for interactive, explorable interfaces over simpler, static visualizations. A key finding was that the AI-powered explan"&amp;"ations successfully bridged the knowledge gap for non-experts; a statistical analysis showed no significant correlation between a user's prior LLM experience and their comprehension scores, indicating that the system effectively leveled the playing field."&amp;" We conclude that an AI system can indeed simplify complex model analyses, but its true power is unlocked when paired with thoughtful, user-centered design that prioritizes interactivity, specificity, and narrative guidance.")</f>
        <v>While mechanistic interpretability has developed powerful tools to analyze the internal workings of Large Language Models (LLMs), their complexity has created an accessibility gap, limiting their use to specialists. We address this challenge by designing, building, and evaluating ELIA (Explainable Language Interpretability Analysis), an interactive web application that simplifies the outcomes of various language model component analyses for a broader audience. The system integrates three key techniques -- Attribution Analysis, Function Vector Analysis, and Circuit Tracing -- and introduces a novel methodology: using a vision-language model to automatically generate natural language explanations (NLEs) for the complex visualizations produced by these methods. The effectiveness of this approach was empirically validated through a mixed-methods user study, which revealed a clear preference for interactive, explorable interfaces over simpler, static visualizations. A key finding was that the AI-powered explanations successfully bridged the knowledge gap for non-experts; a statistical analysis showed no significant correlation between a user's prior LLM experience and their comprehension scores, indicating that the system effectively leveled the playing field. We conclude that an AI system can indeed simplify complex model analyses, but its true power is unlocked when paired with thoughtful, user-centered design that prioritizes interactivity, specificity, and narrative guidance.</v>
      </c>
      <c r="D62" s="2" t="str">
        <f ca="1">IFERROR(__xludf.DUMMYFUNCTION("""COMPUTED_VALUE"""),"Aaron Louis Eidt, Nils Feldhus")</f>
        <v>Aaron Louis Eidt, Nils Feldhus</v>
      </c>
      <c r="E62" s="2" t="str">
        <f ca="1">IFERROR(__xludf.DUMMYFUNCTION("""COMPUTED_VALUE"""),"Aaron Louis Eidt, Nils Feldhus")</f>
        <v>Aaron Louis Eidt, Nils Feldhus</v>
      </c>
      <c r="F62" s="2" t="str">
        <f ca="1">IFERROR(__xludf.DUMMYFUNCTION("""COMPUTED_VALUE"""),"Demo")</f>
        <v>Demo</v>
      </c>
      <c r="G62" s="6" t="s">
        <v>17</v>
      </c>
      <c r="H62" s="2" t="str">
        <f ca="1">IFERROR(__xludf.DUMMYFUNCTION("""COMPUTED_VALUE"""),"POSTER HALL")</f>
        <v>POSTER HALL</v>
      </c>
      <c r="I62" t="s">
        <v>87</v>
      </c>
      <c r="J62" s="2" t="str">
        <f ca="1">IFERROR(__xludf.DUMMYFUNCTION("""COMPUTED_VALUE"""),"Thur. Mar 26")</f>
        <v>Thur. Mar 26</v>
      </c>
      <c r="K62" s="2" t="str">
        <f ca="1">IFERROR(__xludf.DUMMYFUNCTION("""COMPUTED_VALUE"""),"11:00-12:30")</f>
        <v>11:00-12:30</v>
      </c>
      <c r="L62" s="2"/>
    </row>
    <row r="63" spans="1:12" ht="15.75" hidden="1" customHeight="1" x14ac:dyDescent="0.15">
      <c r="A63" s="2" t="str">
        <f ca="1">IFERROR(__xludf.DUMMYFUNCTION("""COMPUTED_VALUE"""),"98-DEMO")</f>
        <v>98-DEMO</v>
      </c>
      <c r="B63" s="2" t="str">
        <f ca="1">IFERROR(__xludf.DUMMYFUNCTION("""COMPUTED_VALUE"""),"Using a Human-AI Teaming Approach to Create and Curate Scientific Dataset with the SCILIRE System")</f>
        <v>Using a Human-AI Teaming Approach to Create and Curate Scientific Dataset with the SCILIRE System</v>
      </c>
      <c r="C63" s="2" t="str">
        <f ca="1">IFERROR(__xludf.DUMMYFUNCTION("""COMPUTED_VALUE"""),"The rapid growth of scientific literature has made manual extraction of structured knowledge increasingly impractical. To address this challenge, we introduce SCILIRE, a system for creating datasets designed around Human-AI teaming principles centred on w"&amp;"orkflows for verifying and curating data. SCILIRE implements an iterative workflow in which researchers can review, correct AI outputs, where this interaction is used as a feedback signal to improve future LLM-based inference. We evaluate our design princ"&amp;"iples using a combination of intrinsic benchmarking outcomes together with real-world case studies across multiple domains. The results demonstrate that SCILIRE improves extraction fidelity, facilitates efficient dataset creation, and empowers researchers"&amp;" to maintain control over their curated data.")</f>
        <v>The rapid growth of scientific literature has made manual extraction of structured knowledge increasingly impractical. To address this challenge, we introduce SCILIRE, a system for creating datasets designed around Human-AI teaming principles centred on workflows for verifying and curating data. SCILIRE implements an iterative workflow in which researchers can review, correct AI outputs, where this interaction is used as a feedback signal to improve future LLM-based inference. We evaluate our design principles using a combination of intrinsic benchmarking outcomes together with real-world case studies across multiple domains. The results demonstrate that SCILIRE improves extraction fidelity, facilitates efficient dataset creation, and empowers researchers to maintain control over their curated data.</v>
      </c>
      <c r="D63" s="2" t="str">
        <f ca="1">IFERROR(__xludf.DUMMYFUNCTION("""COMPUTED_VALUE"""),"Necva Bölücü, Jessica Irons, Changhyun Lee, Brian Jin, Maciej Rybinski, Huichen Yang, Andreas Duenser, Stephen Wan")</f>
        <v>Necva Bölücü, Jessica Irons, Changhyun Lee, Brian Jin, Maciej Rybinski, Huichen Yang, Andreas Duenser, Stephen Wan</v>
      </c>
      <c r="E63" s="2" t="str">
        <f ca="1">IFERROR(__xludf.DUMMYFUNCTION("""COMPUTED_VALUE"""),"Stephen Wan")</f>
        <v>Stephen Wan</v>
      </c>
      <c r="F63" s="2" t="str">
        <f ca="1">IFERROR(__xludf.DUMMYFUNCTION("""COMPUTED_VALUE"""),"Demo")</f>
        <v>Demo</v>
      </c>
      <c r="G63" s="6" t="s">
        <v>17</v>
      </c>
      <c r="H63" s="2" t="str">
        <f ca="1">IFERROR(__xludf.DUMMYFUNCTION("""COMPUTED_VALUE"""),"POSTER HALL")</f>
        <v>POSTER HALL</v>
      </c>
      <c r="I63" t="s">
        <v>87</v>
      </c>
      <c r="J63" s="2" t="str">
        <f ca="1">IFERROR(__xludf.DUMMYFUNCTION("""COMPUTED_VALUE"""),"Thur. Mar 26")</f>
        <v>Thur. Mar 26</v>
      </c>
      <c r="K63" s="2" t="str">
        <f ca="1">IFERROR(__xludf.DUMMYFUNCTION("""COMPUTED_VALUE"""),"11:00-12:30")</f>
        <v>11:00-12:30</v>
      </c>
      <c r="L63" s="2"/>
    </row>
    <row r="64" spans="1:12" ht="15.75" hidden="1" customHeight="1" x14ac:dyDescent="0.15">
      <c r="A64" s="2" t="str">
        <f ca="1">IFERROR(__xludf.DUMMYFUNCTION("""COMPUTED_VALUE"""),"116-DEMO")</f>
        <v>116-DEMO</v>
      </c>
      <c r="B64" s="2" t="str">
        <f ca="1">IFERROR(__xludf.DUMMYFUNCTION("""COMPUTED_VALUE"""),"ARGSBASE: A Multi-Agent Interface for Structured Human–AI Deliberation")</f>
        <v>ARGSBASE: A Multi-Agent Interface for Structured Human–AI Deliberation</v>
      </c>
      <c r="C64" s="2" t="str">
        <f ca="1">IFERROR(__xludf.DUMMYFUNCTION("""COMPUTED_VALUE"""),"We present a new deliberation interface that enables users to engage with multiple large language models (LLMs), coordinated by a moderator agent that assigns roles, manages turn-taking, and ensures structured interaction. Grounded in argumentation theory"&amp;", the system fosters critical thinking through user–LLM dialogues, real-time summaries of agreements and open questions, and argument maps. Rather than treating LLMs as mere answer providers, our tool positions them as reasoning partners, supporting epist"&amp;"emically responsible human–AI collaboration. It exemplifies hybrid argumentation and aligns with recent calls for “reasonable parrots,” where LLM agents interact with users guided by argumentative principles such as relevance, responsibility, and freedom."&amp;" A user study shows that participants found the tool easy to use, perspective-enhancing, and promising for research, while suggesting areas for improvement. We make the deliberation interface accessible for testing and provide a recorded demonstration.")</f>
        <v>We present a new deliberation interface that enables users to engage with multiple large language models (LLMs), coordinated by a moderator agent that assigns roles, manages turn-taking, and ensures structured interaction. Grounded in argumentation theory, the system fosters critical thinking through user–LLM dialogues, real-time summaries of agreements and open questions, and argument maps. Rather than treating LLMs as mere answer providers, our tool positions them as reasoning partners, supporting epistemically responsible human–AI collaboration. It exemplifies hybrid argumentation and aligns with recent calls for “reasonable parrots,” where LLM agents interact with users guided by argumentative principles such as relevance, responsibility, and freedom. A user study shows that participants found the tool easy to use, perspective-enhancing, and promising for research, while suggesting areas for improvement. We make the deliberation interface accessible for testing and provide a recorded demonstration.</v>
      </c>
      <c r="D64" s="2" t="str">
        <f ca="1">IFERROR(__xludf.DUMMYFUNCTION("""COMPUTED_VALUE"""),"Frieso Turkstra , Sara Nabhani, Khalid Al Khatib")</f>
        <v>Frieso Turkstra , Sara Nabhani, Khalid Al Khatib</v>
      </c>
      <c r="E64" s="2" t="str">
        <f ca="1">IFERROR(__xludf.DUMMYFUNCTION("""COMPUTED_VALUE"""),"Khalid Al-Khatib")</f>
        <v>Khalid Al-Khatib</v>
      </c>
      <c r="F64" s="2" t="str">
        <f ca="1">IFERROR(__xludf.DUMMYFUNCTION("""COMPUTED_VALUE"""),"Demo")</f>
        <v>Demo</v>
      </c>
      <c r="G64" s="6" t="s">
        <v>17</v>
      </c>
      <c r="H64" s="2" t="str">
        <f ca="1">IFERROR(__xludf.DUMMYFUNCTION("""COMPUTED_VALUE"""),"POSTER HALL")</f>
        <v>POSTER HALL</v>
      </c>
      <c r="I64" t="s">
        <v>118</v>
      </c>
      <c r="J64" s="2" t="str">
        <f ca="1">IFERROR(__xludf.DUMMYFUNCTION("""COMPUTED_VALUE"""),"Thur. Mar 26")</f>
        <v>Thur. Mar 26</v>
      </c>
      <c r="K64" s="2" t="str">
        <f ca="1">IFERROR(__xludf.DUMMYFUNCTION("""COMPUTED_VALUE"""),"14:30-16:00")</f>
        <v>14:30-16:00</v>
      </c>
      <c r="L64" s="2"/>
    </row>
    <row r="65" spans="1:12" ht="15.75" hidden="1" customHeight="1" x14ac:dyDescent="0.15">
      <c r="A65" s="2" t="str">
        <f ca="1">IFERROR(__xludf.DUMMYFUNCTION("""COMPUTED_VALUE"""),"118-DEMO")</f>
        <v>118-DEMO</v>
      </c>
      <c r="B65" s="2" t="str">
        <f ca="1">IFERROR(__xludf.DUMMYFUNCTION("""COMPUTED_VALUE"""),"Simultaneous Speech-to-Text Translation Web Application for Estonian")</f>
        <v>Simultaneous Speech-to-Text Translation Web Application for Estonian</v>
      </c>
      <c r="C65" s="2" t="str">
        <f ca="1">IFERROR(__xludf.DUMMYFUNCTION("""COMPUTED_VALUE"""),"This paper presents a new open-source web application for simultaneous speech-to-text translation. The system translates live Estonian speech into English, Russian, and Ukrainian text, and also supports English-to-Estonian translation. Our solution uses a"&amp;" cascaded architecture that combines streaming speech recognition with a recently proposed LLM-based simultaneous translation model. The LLM treats translation as a conversation, processing input in small five-word chunks. Our streaming speech recognition"&amp;" achieves a word error rate of 10.2\% and a BLEU score of 26.1 for Estonian-to-English, significantly outperforming existing streaming solutions. The application is designed for real-world use, featuring a latency of only 3 - 6 seconds. The application is"&amp;" available at https://est2eng.vercel.app.")</f>
        <v>This paper presents a new open-source web application for simultaneous speech-to-text translation. The system translates live Estonian speech into English, Russian, and Ukrainian text, and also supports English-to-Estonian translation. Our solution uses a cascaded architecture that combines streaming speech recognition with a recently proposed LLM-based simultaneous translation model. The LLM treats translation as a conversation, processing input in small five-word chunks. Our streaming speech recognition achieves a word error rate of 10.2\% and a BLEU score of 26.1 for Estonian-to-English, significantly outperforming existing streaming solutions. The application is designed for real-world use, featuring a latency of only 3 - 6 seconds. The application is available at https://est2eng.vercel.app.</v>
      </c>
      <c r="D65" s="2" t="str">
        <f ca="1">IFERROR(__xludf.DUMMYFUNCTION("""COMPUTED_VALUE"""),"Bohdan, Aivo, Tanel")</f>
        <v>Bohdan, Aivo, Tanel</v>
      </c>
      <c r="E65" s="2" t="str">
        <f ca="1">IFERROR(__xludf.DUMMYFUNCTION("""COMPUTED_VALUE"""),"Bohdan Podziubanchuk")</f>
        <v>Bohdan Podziubanchuk</v>
      </c>
      <c r="F65" s="2" t="str">
        <f ca="1">IFERROR(__xludf.DUMMYFUNCTION("""COMPUTED_VALUE"""),"Demo")</f>
        <v>Demo</v>
      </c>
      <c r="G65" s="6" t="s">
        <v>17</v>
      </c>
      <c r="H65" s="2" t="str">
        <f ca="1">IFERROR(__xludf.DUMMYFUNCTION("""COMPUTED_VALUE"""),"POSTER HALL")</f>
        <v>POSTER HALL</v>
      </c>
      <c r="I65" t="s">
        <v>118</v>
      </c>
      <c r="J65" s="2" t="str">
        <f ca="1">IFERROR(__xludf.DUMMYFUNCTION("""COMPUTED_VALUE"""),"Thur. Mar 26")</f>
        <v>Thur. Mar 26</v>
      </c>
      <c r="K65" s="2" t="str">
        <f ca="1">IFERROR(__xludf.DUMMYFUNCTION("""COMPUTED_VALUE"""),"14:30-16:00")</f>
        <v>14:30-16:00</v>
      </c>
      <c r="L65" s="2"/>
    </row>
    <row r="66" spans="1:12" ht="15.75" hidden="1" customHeight="1" x14ac:dyDescent="0.15">
      <c r="A66" s="2" t="str">
        <f ca="1">IFERROR(__xludf.DUMMYFUNCTION("""COMPUTED_VALUE"""),"123-DEMO")</f>
        <v>123-DEMO</v>
      </c>
      <c r="B66" s="2" t="str">
        <f ca="1">IFERROR(__xludf.DUMMYFUNCTION("""COMPUTED_VALUE"""),"entity-linkings: A Unified Library for Entity Linking")</f>
        <v>entity-linkings: A Unified Library for Entity Linking</v>
      </c>
      <c r="C66" s="2" t="str">
        <f ca="1">IFERROR(__xludf.DUMMYFUNCTION("""COMPUTED_VALUE"""),"Entity linking (EL) aims to disambiguate named entities in text by mapping them to the appropriate entities in a knowledge base. However, it is difficult to use some EL methods, as they sometimes have issues in reproducibility due to limited maintenance o"&amp;"r the lack of official resources. To address this, we introduce \entitylinkings, a unified library for using and developing entity linking systems through a unified interface. Our library flexibly integrates various candidate retrievers and re-ranking mod"&amp;"els, making it easy to compare and use any entity linking methods within a unified framework. In addition, it is designed with a strong emphasis on API usability, making it highly extensible, and it supports both command-line tools and APIs. Our code is a"&amp;"vailable on GitHub and distributed via PyPI under the MIT license. The video is available on YouTube.")</f>
        <v>Entity linking (EL) aims to disambiguate named entities in text by mapping them to the appropriate entities in a knowledge base. However, it is difficult to use some EL methods, as they sometimes have issues in reproducibility due to limited maintenance or the lack of official resources. To address this, we introduce \entitylinkings, a unified library for using and developing entity linking systems through a unified interface. Our library flexibly integrates various candidate retrievers and re-ranking models, making it easy to compare and use any entity linking methods within a unified framework. In addition, it is designed with a strong emphasis on API usability, making it highly extensible, and it supports both command-line tools and APIs. Our code is available on GitHub and distributed via PyPI under the MIT license. The video is available on YouTube.</v>
      </c>
      <c r="D66" s="2" t="str">
        <f ca="1">IFERROR(__xludf.DUMMYFUNCTION("""COMPUTED_VALUE"""),"Tsuyoshi Fujita, Yuya Sawada, Yusuke Sakai, Taro Watanabe")</f>
        <v>Tsuyoshi Fujita, Yuya Sawada, Yusuke Sakai, Taro Watanabe</v>
      </c>
      <c r="E66" s="2" t="str">
        <f ca="1">IFERROR(__xludf.DUMMYFUNCTION("""COMPUTED_VALUE"""),"Tsuyoshi Fujita")</f>
        <v>Tsuyoshi Fujita</v>
      </c>
      <c r="F66" s="2" t="str">
        <f ca="1">IFERROR(__xludf.DUMMYFUNCTION("""COMPUTED_VALUE"""),"Demo")</f>
        <v>Demo</v>
      </c>
      <c r="G66" s="6" t="s">
        <v>17</v>
      </c>
      <c r="H66" s="2" t="str">
        <f ca="1">IFERROR(__xludf.DUMMYFUNCTION("""COMPUTED_VALUE"""),"POSTER HALL")</f>
        <v>POSTER HALL</v>
      </c>
      <c r="I66" t="s">
        <v>118</v>
      </c>
      <c r="J66" s="2" t="str">
        <f ca="1">IFERROR(__xludf.DUMMYFUNCTION("""COMPUTED_VALUE"""),"Thur. Mar 26")</f>
        <v>Thur. Mar 26</v>
      </c>
      <c r="K66" s="2" t="str">
        <f ca="1">IFERROR(__xludf.DUMMYFUNCTION("""COMPUTED_VALUE"""),"14:30-16:00")</f>
        <v>14:30-16:00</v>
      </c>
      <c r="L66" s="2"/>
    </row>
    <row r="67" spans="1:12" ht="15.75" hidden="1" customHeight="1" x14ac:dyDescent="0.15">
      <c r="A67" s="2" t="str">
        <f ca="1">IFERROR(__xludf.DUMMYFUNCTION("""COMPUTED_VALUE"""),"125-DEMO")</f>
        <v>125-DEMO</v>
      </c>
      <c r="B67" s="2" t="str">
        <f ca="1">IFERROR(__xludf.DUMMYFUNCTION("""COMPUTED_VALUE"""),"BanSuite: A Unified Toolkit and Software Platform for Low-Resource NLP in Bangla")</f>
        <v>BanSuite: A Unified Toolkit and Software Platform for Low-Resource NLP in Bangla</v>
      </c>
      <c r="C67" s="2" t="str">
        <f ca="1">IFERROR(__xludf.DUMMYFUNCTION("""COMPUTED_VALUE"""),"Bangla is one of the world’s most widely spoken languages, yet it remains significantly under-resourced in natural language processing (NLP). Existing efforts have focused on isolated tasks such as Parts of Speech (POS) tagging and Named Entity Recognitio"&amp;"n (NER), but comprehensive, integrated systems for core NLP tasks including Shallow Parsing and Dependency Parsing are largely absent. To address this gap, we present BanSuite, a unified Bangla NLP ecosystem developed under the EBLICT project. BanSuite co"&amp;"mbines a large-scale, manually annotated Bangla Treebank with high-quality pretrained models for POS tagging, NER, shallow parsing, and dependency parsing, achieving strong in-domain baseline performance (POS: 90.16 F1, NER: 90.11 F1, SP: 86.92 F1, DP: 90"&amp;".27 UAS). The system is accessible through a Python toolkit (Bkit) and a Web Application, providing both researchers and non-technical users with robust NLP functionalities, including tokenization, normalization, lemmatization, and syntactic parsing. In b"&amp;"enchmarking against existing Bangla NLP tools and multilingual Large Language Models (LLMs), BanSuite demonstrates superior task performance while maintaining high efficiency in resource usage. By offering the first comprehensive, open, and integrated NLP"&amp;" platform for Bangla, BanSuite lays a scalable foundation for research, application development, and further advancement of low-resource language technologies. A demonstration video is provided to illustrate the system’s functionality in https://youtu.be/"&amp;"3pcfiUQfCoA")</f>
        <v>Bangla is one of the world’s most widely spoken languages, yet it remains significantly under-resourced in natural language processing (NLP). Existing efforts have focused on isolated tasks such as Parts of Speech (POS) tagging and Named Entity Recognition (NER), but comprehensive, integrated systems for core NLP tasks including Shallow Parsing and Dependency Parsing are largely absent. To address this gap, we present BanSuite, a unified Bangla NLP ecosystem developed under the EBLICT project. BanSuite combines a large-scale, manually annotated Bangla Treebank with high-quality pretrained models for POS tagging, NER, shallow parsing, and dependency parsing, achieving strong in-domain baseline performance (POS: 90.16 F1, NER: 90.11 F1, SP: 86.92 F1, DP: 90.27 UAS). The system is accessible through a Python toolkit (Bkit) and a Web Application, providing both researchers and non-technical users with robust NLP functionalities, including tokenization, normalization, lemmatization, and syntactic parsing. In benchmarking against existing Bangla NLP tools and multilingual Large Language Models (LLMs), BanSuite demonstrates superior task performance while maintaining high efficiency in resource usage. By offering the first comprehensive, open, and integrated NLP platform for Bangla, BanSuite lays a scalable foundation for research, application development, and further advancement of low-resource language technologies. A demonstration video is provided to illustrate the system’s functionality in https://youtu.be/3pcfiUQfCoA</v>
      </c>
      <c r="D67" s="2"/>
      <c r="E67" s="2" t="str">
        <f ca="1">IFERROR(__xludf.DUMMYFUNCTION("""COMPUTED_VALUE"""),"Faisal Ahamed Khan")</f>
        <v>Faisal Ahamed Khan</v>
      </c>
      <c r="F67" s="2" t="str">
        <f ca="1">IFERROR(__xludf.DUMMYFUNCTION("""COMPUTED_VALUE"""),"Demo")</f>
        <v>Demo</v>
      </c>
      <c r="G67" s="6" t="s">
        <v>17</v>
      </c>
      <c r="H67" s="2" t="str">
        <f ca="1">IFERROR(__xludf.DUMMYFUNCTION("""COMPUTED_VALUE"""),"POSTER HALL")</f>
        <v>POSTER HALL</v>
      </c>
      <c r="I67" t="s">
        <v>118</v>
      </c>
      <c r="J67" s="2" t="str">
        <f ca="1">IFERROR(__xludf.DUMMYFUNCTION("""COMPUTED_VALUE"""),"Thur. Mar 26")</f>
        <v>Thur. Mar 26</v>
      </c>
      <c r="K67" s="2" t="str">
        <f ca="1">IFERROR(__xludf.DUMMYFUNCTION("""COMPUTED_VALUE"""),"14:30-16:00")</f>
        <v>14:30-16:00</v>
      </c>
      <c r="L67" s="2"/>
    </row>
    <row r="68" spans="1:12" ht="15.75" hidden="1" customHeight="1" x14ac:dyDescent="0.15">
      <c r="A68" t="s">
        <v>245</v>
      </c>
      <c r="B68" s="3" t="s">
        <v>246</v>
      </c>
      <c r="C68" t="s">
        <v>247</v>
      </c>
      <c r="D68" t="s">
        <v>248</v>
      </c>
      <c r="E68" t="s">
        <v>249</v>
      </c>
      <c r="F68" t="s">
        <v>16</v>
      </c>
      <c r="G68" t="s">
        <v>17</v>
      </c>
      <c r="H68" t="s">
        <v>124</v>
      </c>
      <c r="I68" t="s">
        <v>19</v>
      </c>
      <c r="J68" t="s">
        <v>20</v>
      </c>
      <c r="K68" t="s">
        <v>21</v>
      </c>
      <c r="L68">
        <v>1</v>
      </c>
    </row>
    <row r="69" spans="1:12" ht="15.75" hidden="1" customHeight="1" x14ac:dyDescent="0.15">
      <c r="A69" t="s">
        <v>379</v>
      </c>
      <c r="B69" t="s">
        <v>380</v>
      </c>
      <c r="C69" t="s">
        <v>381</v>
      </c>
      <c r="D69" t="s">
        <v>382</v>
      </c>
      <c r="E69" t="s">
        <v>383</v>
      </c>
      <c r="F69" t="s">
        <v>16</v>
      </c>
      <c r="G69" t="s">
        <v>17</v>
      </c>
      <c r="H69" t="s">
        <v>124</v>
      </c>
      <c r="I69" t="s">
        <v>19</v>
      </c>
      <c r="J69" t="s">
        <v>20</v>
      </c>
      <c r="K69" t="s">
        <v>21</v>
      </c>
      <c r="L69">
        <v>2</v>
      </c>
    </row>
    <row r="70" spans="1:12" ht="15.75" hidden="1" customHeight="1" x14ac:dyDescent="0.15">
      <c r="A70" t="s">
        <v>583</v>
      </c>
      <c r="B70" t="s">
        <v>584</v>
      </c>
      <c r="C70" t="s">
        <v>585</v>
      </c>
      <c r="D70" t="s">
        <v>586</v>
      </c>
      <c r="E70" t="s">
        <v>587</v>
      </c>
      <c r="F70" t="s">
        <v>16</v>
      </c>
      <c r="G70" t="s">
        <v>17</v>
      </c>
      <c r="H70" t="s">
        <v>124</v>
      </c>
      <c r="I70" t="s">
        <v>19</v>
      </c>
      <c r="J70" t="s">
        <v>20</v>
      </c>
      <c r="K70" t="s">
        <v>21</v>
      </c>
      <c r="L70">
        <v>3</v>
      </c>
    </row>
    <row r="71" spans="1:12" ht="15.75" hidden="1" customHeight="1" x14ac:dyDescent="0.15">
      <c r="A71" t="s">
        <v>836</v>
      </c>
      <c r="B71" t="s">
        <v>837</v>
      </c>
      <c r="C71" t="s">
        <v>838</v>
      </c>
      <c r="D71" t="s">
        <v>839</v>
      </c>
      <c r="E71" t="s">
        <v>840</v>
      </c>
      <c r="F71" t="s">
        <v>16</v>
      </c>
      <c r="G71" t="s">
        <v>17</v>
      </c>
      <c r="H71" t="s">
        <v>124</v>
      </c>
      <c r="I71" t="s">
        <v>19</v>
      </c>
      <c r="J71" t="s">
        <v>20</v>
      </c>
      <c r="K71" t="s">
        <v>21</v>
      </c>
      <c r="L71">
        <v>4</v>
      </c>
    </row>
    <row r="72" spans="1:12" ht="15.75" hidden="1" customHeight="1" x14ac:dyDescent="0.15">
      <c r="A72" t="s">
        <v>909</v>
      </c>
      <c r="B72" t="s">
        <v>910</v>
      </c>
      <c r="C72" t="s">
        <v>911</v>
      </c>
      <c r="D72" t="s">
        <v>912</v>
      </c>
      <c r="E72" t="s">
        <v>913</v>
      </c>
      <c r="F72" t="s">
        <v>16</v>
      </c>
      <c r="G72" t="s">
        <v>17</v>
      </c>
      <c r="H72" t="s">
        <v>124</v>
      </c>
      <c r="I72" t="s">
        <v>19</v>
      </c>
      <c r="J72" t="s">
        <v>20</v>
      </c>
      <c r="K72" t="s">
        <v>21</v>
      </c>
      <c r="L72">
        <v>5</v>
      </c>
    </row>
    <row r="73" spans="1:12" ht="15.75" hidden="1" customHeight="1" x14ac:dyDescent="0.15">
      <c r="A73" t="s">
        <v>265</v>
      </c>
      <c r="B73" t="s">
        <v>266</v>
      </c>
      <c r="C73" t="s">
        <v>267</v>
      </c>
      <c r="D73" t="s">
        <v>268</v>
      </c>
      <c r="E73" t="s">
        <v>269</v>
      </c>
      <c r="F73" t="s">
        <v>16</v>
      </c>
      <c r="G73" t="s">
        <v>17</v>
      </c>
      <c r="H73" t="s">
        <v>42</v>
      </c>
      <c r="I73" t="s">
        <v>19</v>
      </c>
      <c r="J73" t="s">
        <v>20</v>
      </c>
      <c r="K73" t="s">
        <v>21</v>
      </c>
      <c r="L73">
        <v>1</v>
      </c>
    </row>
    <row r="74" spans="1:12" ht="15.75" customHeight="1" x14ac:dyDescent="0.15">
      <c r="A74" t="s">
        <v>1438</v>
      </c>
      <c r="B74" t="s">
        <v>1439</v>
      </c>
      <c r="C74" t="s">
        <v>1440</v>
      </c>
      <c r="D74" t="s">
        <v>1441</v>
      </c>
      <c r="E74" t="s">
        <v>1442</v>
      </c>
      <c r="F74" t="s">
        <v>16</v>
      </c>
      <c r="G74" t="s">
        <v>17</v>
      </c>
      <c r="H74" t="s">
        <v>124</v>
      </c>
      <c r="I74" t="s">
        <v>29</v>
      </c>
      <c r="J74" t="s">
        <v>30</v>
      </c>
      <c r="K74" t="s">
        <v>21</v>
      </c>
      <c r="L74">
        <v>4</v>
      </c>
    </row>
    <row r="75" spans="1:12" ht="15.75" customHeight="1" x14ac:dyDescent="0.15">
      <c r="A75" t="s">
        <v>1528</v>
      </c>
      <c r="B75" t="s">
        <v>1529</v>
      </c>
      <c r="C75" t="s">
        <v>1530</v>
      </c>
      <c r="D75" t="s">
        <v>1531</v>
      </c>
      <c r="E75" t="s">
        <v>1532</v>
      </c>
      <c r="F75" t="s">
        <v>16</v>
      </c>
      <c r="G75" t="s">
        <v>17</v>
      </c>
      <c r="H75" t="s">
        <v>124</v>
      </c>
      <c r="I75" t="s">
        <v>29</v>
      </c>
      <c r="J75" t="s">
        <v>30</v>
      </c>
      <c r="K75" t="s">
        <v>21</v>
      </c>
      <c r="L75">
        <v>5</v>
      </c>
    </row>
    <row r="76" spans="1:12" ht="15.75" customHeight="1" x14ac:dyDescent="0.15">
      <c r="A76" t="s">
        <v>399</v>
      </c>
      <c r="B76" s="3" t="s">
        <v>3144</v>
      </c>
      <c r="C76" t="s">
        <v>400</v>
      </c>
      <c r="D76" t="s">
        <v>401</v>
      </c>
      <c r="E76" t="s">
        <v>402</v>
      </c>
      <c r="F76" t="s">
        <v>16</v>
      </c>
      <c r="G76" t="s">
        <v>17</v>
      </c>
      <c r="H76" t="s">
        <v>42</v>
      </c>
      <c r="I76" t="s">
        <v>29</v>
      </c>
      <c r="J76" t="s">
        <v>30</v>
      </c>
      <c r="K76" t="s">
        <v>21</v>
      </c>
      <c r="L76">
        <v>1</v>
      </c>
    </row>
    <row r="77" spans="1:12" ht="15.75" customHeight="1" x14ac:dyDescent="0.15">
      <c r="A77" t="s">
        <v>1024</v>
      </c>
      <c r="B77" t="s">
        <v>1025</v>
      </c>
      <c r="C77" t="s">
        <v>1026</v>
      </c>
      <c r="D77" t="s">
        <v>1027</v>
      </c>
      <c r="E77" t="s">
        <v>1028</v>
      </c>
      <c r="F77" t="s">
        <v>16</v>
      </c>
      <c r="G77" t="s">
        <v>17</v>
      </c>
      <c r="H77" t="s">
        <v>42</v>
      </c>
      <c r="I77" t="s">
        <v>29</v>
      </c>
      <c r="J77" t="s">
        <v>30</v>
      </c>
      <c r="K77" t="s">
        <v>21</v>
      </c>
      <c r="L77">
        <v>2</v>
      </c>
    </row>
    <row r="78" spans="1:12" ht="15.75" customHeight="1" x14ac:dyDescent="0.15">
      <c r="A78" t="s">
        <v>1354</v>
      </c>
      <c r="B78" t="s">
        <v>1355</v>
      </c>
      <c r="C78" t="s">
        <v>1356</v>
      </c>
      <c r="D78" t="s">
        <v>1357</v>
      </c>
      <c r="E78" t="s">
        <v>1358</v>
      </c>
      <c r="F78" t="s">
        <v>16</v>
      </c>
      <c r="G78" t="s">
        <v>17</v>
      </c>
      <c r="H78" t="s">
        <v>42</v>
      </c>
      <c r="I78" t="s">
        <v>29</v>
      </c>
      <c r="J78" t="s">
        <v>30</v>
      </c>
      <c r="K78" t="s">
        <v>21</v>
      </c>
      <c r="L78">
        <v>3</v>
      </c>
    </row>
    <row r="79" spans="1:12" ht="15.75" customHeight="1" x14ac:dyDescent="0.15">
      <c r="A79" t="s">
        <v>1578</v>
      </c>
      <c r="B79" t="s">
        <v>1579</v>
      </c>
      <c r="C79" t="s">
        <v>1580</v>
      </c>
      <c r="D79" t="s">
        <v>1581</v>
      </c>
      <c r="E79" t="s">
        <v>1582</v>
      </c>
      <c r="F79" t="s">
        <v>16</v>
      </c>
      <c r="G79" t="s">
        <v>17</v>
      </c>
      <c r="H79" t="s">
        <v>42</v>
      </c>
      <c r="I79" t="s">
        <v>29</v>
      </c>
      <c r="J79" t="s">
        <v>30</v>
      </c>
      <c r="K79" t="s">
        <v>21</v>
      </c>
      <c r="L79">
        <v>4</v>
      </c>
    </row>
    <row r="80" spans="1:12" ht="15.75" customHeight="1" x14ac:dyDescent="0.15">
      <c r="A80" t="s">
        <v>1583</v>
      </c>
      <c r="B80" t="s">
        <v>1584</v>
      </c>
      <c r="C80" t="s">
        <v>1585</v>
      </c>
      <c r="D80" t="s">
        <v>1586</v>
      </c>
      <c r="E80" t="s">
        <v>1587</v>
      </c>
      <c r="F80" t="s">
        <v>16</v>
      </c>
      <c r="G80" t="s">
        <v>17</v>
      </c>
      <c r="H80" t="s">
        <v>42</v>
      </c>
      <c r="I80" t="s">
        <v>29</v>
      </c>
      <c r="J80" t="s">
        <v>30</v>
      </c>
      <c r="K80" t="s">
        <v>21</v>
      </c>
      <c r="L80">
        <v>5</v>
      </c>
    </row>
    <row r="81" spans="1:12" ht="15.75" customHeight="1" x14ac:dyDescent="0.15">
      <c r="A81" t="s">
        <v>647</v>
      </c>
      <c r="B81" s="3" t="s">
        <v>648</v>
      </c>
      <c r="C81" t="s">
        <v>649</v>
      </c>
      <c r="D81" t="s">
        <v>650</v>
      </c>
      <c r="E81" t="s">
        <v>651</v>
      </c>
      <c r="F81" t="s">
        <v>16</v>
      </c>
      <c r="G81" t="s">
        <v>17</v>
      </c>
      <c r="H81" t="s">
        <v>150</v>
      </c>
      <c r="I81" t="s">
        <v>29</v>
      </c>
      <c r="J81" t="s">
        <v>30</v>
      </c>
      <c r="K81" t="s">
        <v>21</v>
      </c>
      <c r="L81">
        <v>1</v>
      </c>
    </row>
    <row r="82" spans="1:12" ht="15.75" customHeight="1" x14ac:dyDescent="0.15">
      <c r="A82" t="s">
        <v>989</v>
      </c>
      <c r="B82" t="s">
        <v>990</v>
      </c>
      <c r="C82" t="s">
        <v>991</v>
      </c>
      <c r="D82" t="s">
        <v>992</v>
      </c>
      <c r="E82" t="s">
        <v>993</v>
      </c>
      <c r="F82" t="s">
        <v>16</v>
      </c>
      <c r="G82" t="s">
        <v>17</v>
      </c>
      <c r="H82" t="s">
        <v>150</v>
      </c>
      <c r="I82" t="s">
        <v>29</v>
      </c>
      <c r="J82" t="s">
        <v>30</v>
      </c>
      <c r="K82" t="s">
        <v>21</v>
      </c>
      <c r="L82">
        <v>2</v>
      </c>
    </row>
    <row r="83" spans="1:12" ht="15.75" customHeight="1" x14ac:dyDescent="0.15">
      <c r="A83" t="s">
        <v>994</v>
      </c>
      <c r="B83" t="s">
        <v>995</v>
      </c>
      <c r="C83" t="s">
        <v>996</v>
      </c>
      <c r="D83" t="s">
        <v>997</v>
      </c>
      <c r="E83" t="s">
        <v>998</v>
      </c>
      <c r="F83" t="s">
        <v>16</v>
      </c>
      <c r="G83" t="s">
        <v>17</v>
      </c>
      <c r="H83" t="s">
        <v>150</v>
      </c>
      <c r="I83" t="s">
        <v>29</v>
      </c>
      <c r="J83" t="s">
        <v>30</v>
      </c>
      <c r="K83" t="s">
        <v>21</v>
      </c>
      <c r="L83">
        <v>3</v>
      </c>
    </row>
    <row r="84" spans="1:12" ht="15.75" hidden="1" customHeight="1" x14ac:dyDescent="0.15">
      <c r="A84" s="1" t="s">
        <v>156</v>
      </c>
      <c r="B84" s="1" t="s">
        <v>157</v>
      </c>
      <c r="C84" s="1" t="s">
        <v>158</v>
      </c>
      <c r="D84" s="1" t="s">
        <v>159</v>
      </c>
      <c r="E84" s="1" t="s">
        <v>160</v>
      </c>
      <c r="F84" s="1" t="s">
        <v>16</v>
      </c>
      <c r="G84" s="1" t="s">
        <v>17</v>
      </c>
      <c r="H84" s="1" t="s">
        <v>150</v>
      </c>
      <c r="I84" s="1" t="s">
        <v>50</v>
      </c>
      <c r="J84" s="1" t="s">
        <v>51</v>
      </c>
      <c r="K84" s="1" t="s">
        <v>52</v>
      </c>
      <c r="L84">
        <v>1</v>
      </c>
    </row>
    <row r="85" spans="1:12" ht="15.75" hidden="1" customHeight="1" x14ac:dyDescent="0.15">
      <c r="A85" t="s">
        <v>503</v>
      </c>
      <c r="B85" t="s">
        <v>504</v>
      </c>
      <c r="C85" t="s">
        <v>505</v>
      </c>
      <c r="D85" t="s">
        <v>506</v>
      </c>
      <c r="E85" t="s">
        <v>507</v>
      </c>
      <c r="F85" t="s">
        <v>16</v>
      </c>
      <c r="G85" t="s">
        <v>17</v>
      </c>
      <c r="H85" t="s">
        <v>150</v>
      </c>
      <c r="I85" t="s">
        <v>50</v>
      </c>
      <c r="J85" t="s">
        <v>51</v>
      </c>
      <c r="K85" t="s">
        <v>52</v>
      </c>
      <c r="L85">
        <v>2</v>
      </c>
    </row>
    <row r="86" spans="1:12" ht="15.75" hidden="1" customHeight="1" x14ac:dyDescent="0.15">
      <c r="A86" t="s">
        <v>523</v>
      </c>
      <c r="B86" t="s">
        <v>524</v>
      </c>
      <c r="C86" t="s">
        <v>525</v>
      </c>
      <c r="D86" t="s">
        <v>526</v>
      </c>
      <c r="E86" t="s">
        <v>527</v>
      </c>
      <c r="F86" t="s">
        <v>16</v>
      </c>
      <c r="G86" t="s">
        <v>17</v>
      </c>
      <c r="H86" t="s">
        <v>150</v>
      </c>
      <c r="I86" t="s">
        <v>50</v>
      </c>
      <c r="J86" t="s">
        <v>51</v>
      </c>
      <c r="K86" t="s">
        <v>52</v>
      </c>
      <c r="L86">
        <v>3</v>
      </c>
    </row>
    <row r="87" spans="1:12" ht="15.75" hidden="1" customHeight="1" x14ac:dyDescent="0.15">
      <c r="A87" t="s">
        <v>1019</v>
      </c>
      <c r="B87" t="s">
        <v>1020</v>
      </c>
      <c r="C87" t="s">
        <v>1021</v>
      </c>
      <c r="D87" t="s">
        <v>1022</v>
      </c>
      <c r="E87" t="s">
        <v>1023</v>
      </c>
      <c r="F87" t="s">
        <v>16</v>
      </c>
      <c r="G87" t="s">
        <v>17</v>
      </c>
      <c r="H87" t="s">
        <v>150</v>
      </c>
      <c r="I87" t="s">
        <v>50</v>
      </c>
      <c r="J87" t="s">
        <v>51</v>
      </c>
      <c r="K87" t="s">
        <v>52</v>
      </c>
      <c r="L87">
        <v>4</v>
      </c>
    </row>
    <row r="88" spans="1:12" ht="15.75" hidden="1" customHeight="1" x14ac:dyDescent="0.15">
      <c r="A88" t="s">
        <v>1658</v>
      </c>
      <c r="B88" t="s">
        <v>1659</v>
      </c>
      <c r="C88" t="s">
        <v>1660</v>
      </c>
      <c r="D88" t="s">
        <v>1661</v>
      </c>
      <c r="E88" t="s">
        <v>1662</v>
      </c>
      <c r="F88" t="s">
        <v>16</v>
      </c>
      <c r="G88" t="s">
        <v>17</v>
      </c>
      <c r="H88" t="s">
        <v>150</v>
      </c>
      <c r="I88" t="s">
        <v>50</v>
      </c>
      <c r="J88" t="s">
        <v>51</v>
      </c>
      <c r="K88" t="s">
        <v>52</v>
      </c>
      <c r="L88">
        <v>5</v>
      </c>
    </row>
    <row r="89" spans="1:12" ht="15.75" hidden="1" customHeight="1" x14ac:dyDescent="0.15">
      <c r="A89" t="s">
        <v>339</v>
      </c>
      <c r="B89" t="s">
        <v>340</v>
      </c>
      <c r="C89" t="s">
        <v>341</v>
      </c>
      <c r="D89" t="s">
        <v>342</v>
      </c>
      <c r="E89" t="s">
        <v>343</v>
      </c>
      <c r="F89" t="s">
        <v>16</v>
      </c>
      <c r="G89" t="s">
        <v>17</v>
      </c>
      <c r="H89" t="s">
        <v>36</v>
      </c>
      <c r="I89" t="s">
        <v>50</v>
      </c>
      <c r="J89" t="s">
        <v>51</v>
      </c>
      <c r="K89" t="s">
        <v>52</v>
      </c>
      <c r="L89">
        <v>1</v>
      </c>
    </row>
    <row r="90" spans="1:12" ht="15.75" hidden="1" customHeight="1" x14ac:dyDescent="0.15">
      <c r="A90" t="s">
        <v>483</v>
      </c>
      <c r="B90" t="s">
        <v>484</v>
      </c>
      <c r="C90" t="s">
        <v>485</v>
      </c>
      <c r="D90" t="s">
        <v>486</v>
      </c>
      <c r="E90" t="s">
        <v>487</v>
      </c>
      <c r="F90" t="s">
        <v>16</v>
      </c>
      <c r="G90" t="s">
        <v>17</v>
      </c>
      <c r="H90" t="s">
        <v>36</v>
      </c>
      <c r="I90" t="s">
        <v>50</v>
      </c>
      <c r="J90" t="s">
        <v>51</v>
      </c>
      <c r="K90" t="s">
        <v>52</v>
      </c>
      <c r="L90">
        <v>2</v>
      </c>
    </row>
    <row r="91" spans="1:12" ht="15.75" hidden="1" customHeight="1" x14ac:dyDescent="0.15">
      <c r="A91" t="s">
        <v>662</v>
      </c>
      <c r="B91" t="s">
        <v>663</v>
      </c>
      <c r="C91" t="s">
        <v>664</v>
      </c>
      <c r="D91" t="s">
        <v>665</v>
      </c>
      <c r="E91" t="s">
        <v>666</v>
      </c>
      <c r="F91" t="s">
        <v>16</v>
      </c>
      <c r="G91" t="s">
        <v>17</v>
      </c>
      <c r="H91" t="s">
        <v>36</v>
      </c>
      <c r="I91" t="s">
        <v>50</v>
      </c>
      <c r="J91" t="s">
        <v>51</v>
      </c>
      <c r="K91" t="s">
        <v>52</v>
      </c>
      <c r="L91">
        <v>3</v>
      </c>
    </row>
    <row r="92" spans="1:12" ht="15.75" hidden="1" customHeight="1" x14ac:dyDescent="0.15">
      <c r="A92" t="s">
        <v>1234</v>
      </c>
      <c r="B92" t="s">
        <v>1235</v>
      </c>
      <c r="C92" t="s">
        <v>1236</v>
      </c>
      <c r="D92" t="s">
        <v>1237</v>
      </c>
      <c r="E92" t="s">
        <v>1238</v>
      </c>
      <c r="F92" t="s">
        <v>16</v>
      </c>
      <c r="G92" t="s">
        <v>17</v>
      </c>
      <c r="H92" t="s">
        <v>36</v>
      </c>
      <c r="I92" t="s">
        <v>50</v>
      </c>
      <c r="J92" t="s">
        <v>51</v>
      </c>
      <c r="K92" t="s">
        <v>52</v>
      </c>
      <c r="L92">
        <v>4</v>
      </c>
    </row>
    <row r="93" spans="1:12" ht="15.75" hidden="1" customHeight="1" x14ac:dyDescent="0.15">
      <c r="A93" t="s">
        <v>1259</v>
      </c>
      <c r="B93" t="s">
        <v>1260</v>
      </c>
      <c r="C93" t="s">
        <v>1261</v>
      </c>
      <c r="D93" t="s">
        <v>1262</v>
      </c>
      <c r="E93" t="s">
        <v>1263</v>
      </c>
      <c r="F93" t="s">
        <v>16</v>
      </c>
      <c r="G93" t="s">
        <v>17</v>
      </c>
      <c r="H93" t="s">
        <v>36</v>
      </c>
      <c r="I93" t="s">
        <v>50</v>
      </c>
      <c r="J93" t="s">
        <v>51</v>
      </c>
      <c r="K93" t="s">
        <v>52</v>
      </c>
      <c r="L93">
        <v>5</v>
      </c>
    </row>
    <row r="94" spans="1:12" ht="15.75" hidden="1" customHeight="1" x14ac:dyDescent="0.15">
      <c r="A94" s="1" t="s">
        <v>67</v>
      </c>
      <c r="B94" s="1" t="s">
        <v>68</v>
      </c>
      <c r="C94" s="1" t="s">
        <v>69</v>
      </c>
      <c r="D94" s="1" t="s">
        <v>70</v>
      </c>
      <c r="E94" s="1" t="s">
        <v>71</v>
      </c>
      <c r="F94" s="1" t="s">
        <v>27</v>
      </c>
      <c r="G94" s="1" t="s">
        <v>17</v>
      </c>
      <c r="H94" s="1" t="s">
        <v>28</v>
      </c>
      <c r="I94" s="1" t="s">
        <v>50</v>
      </c>
      <c r="J94" s="1" t="s">
        <v>51</v>
      </c>
      <c r="K94" s="1" t="s">
        <v>52</v>
      </c>
    </row>
    <row r="95" spans="1:12" ht="15.75" hidden="1" customHeight="1" x14ac:dyDescent="0.15">
      <c r="A95" s="1" t="s">
        <v>77</v>
      </c>
      <c r="B95" s="1" t="s">
        <v>78</v>
      </c>
      <c r="C95" s="1" t="s">
        <v>79</v>
      </c>
      <c r="D95" s="1" t="s">
        <v>80</v>
      </c>
      <c r="E95" s="1" t="s">
        <v>81</v>
      </c>
      <c r="F95" s="1" t="s">
        <v>27</v>
      </c>
      <c r="G95" s="1" t="s">
        <v>17</v>
      </c>
      <c r="H95" s="1" t="s">
        <v>28</v>
      </c>
      <c r="I95" s="1" t="s">
        <v>50</v>
      </c>
      <c r="J95" s="1" t="s">
        <v>51</v>
      </c>
      <c r="K95" s="1" t="s">
        <v>52</v>
      </c>
    </row>
    <row r="96" spans="1:12" ht="15.75" hidden="1" customHeight="1" x14ac:dyDescent="0.15">
      <c r="A96" s="1" t="s">
        <v>108</v>
      </c>
      <c r="B96" s="1" t="s">
        <v>109</v>
      </c>
      <c r="C96" s="1" t="s">
        <v>110</v>
      </c>
      <c r="D96" s="1" t="s">
        <v>111</v>
      </c>
      <c r="E96" s="1" t="s">
        <v>112</v>
      </c>
      <c r="F96" s="1" t="s">
        <v>27</v>
      </c>
      <c r="G96" s="1" t="s">
        <v>17</v>
      </c>
      <c r="H96" s="1" t="s">
        <v>28</v>
      </c>
      <c r="I96" s="1" t="s">
        <v>50</v>
      </c>
      <c r="J96" s="1" t="s">
        <v>51</v>
      </c>
      <c r="K96" s="1" t="s">
        <v>52</v>
      </c>
    </row>
    <row r="97" spans="1:12" ht="15.75" hidden="1" customHeight="1" x14ac:dyDescent="0.15">
      <c r="A97" s="1" t="s">
        <v>125</v>
      </c>
      <c r="B97" s="1" t="s">
        <v>126</v>
      </c>
      <c r="C97" s="1" t="s">
        <v>127</v>
      </c>
      <c r="D97" s="1" t="s">
        <v>128</v>
      </c>
      <c r="E97" s="1" t="s">
        <v>129</v>
      </c>
      <c r="F97" s="1" t="s">
        <v>27</v>
      </c>
      <c r="G97" s="1" t="s">
        <v>17</v>
      </c>
      <c r="H97" s="1" t="s">
        <v>28</v>
      </c>
      <c r="I97" s="1" t="s">
        <v>50</v>
      </c>
      <c r="J97" s="1" t="s">
        <v>51</v>
      </c>
      <c r="K97" s="1" t="s">
        <v>52</v>
      </c>
    </row>
    <row r="98" spans="1:12" ht="15.75" hidden="1" customHeight="1" x14ac:dyDescent="0.15">
      <c r="A98" t="s">
        <v>176</v>
      </c>
      <c r="B98" t="s">
        <v>177</v>
      </c>
      <c r="C98" t="s">
        <v>178</v>
      </c>
      <c r="D98" t="s">
        <v>179</v>
      </c>
      <c r="E98" t="s">
        <v>180</v>
      </c>
      <c r="F98" t="s">
        <v>27</v>
      </c>
      <c r="G98" t="s">
        <v>17</v>
      </c>
      <c r="H98" t="s">
        <v>28</v>
      </c>
      <c r="I98" t="s">
        <v>50</v>
      </c>
      <c r="J98" t="s">
        <v>51</v>
      </c>
      <c r="K98" t="s">
        <v>52</v>
      </c>
    </row>
    <row r="99" spans="1:12" ht="15.75" hidden="1" customHeight="1" x14ac:dyDescent="0.15">
      <c r="A99" t="s">
        <v>329</v>
      </c>
      <c r="B99" t="s">
        <v>330</v>
      </c>
      <c r="C99" t="s">
        <v>331</v>
      </c>
      <c r="D99" t="s">
        <v>332</v>
      </c>
      <c r="E99" t="s">
        <v>333</v>
      </c>
      <c r="F99" t="s">
        <v>16</v>
      </c>
      <c r="G99" t="s">
        <v>17</v>
      </c>
      <c r="H99" t="s">
        <v>42</v>
      </c>
      <c r="I99" t="s">
        <v>19</v>
      </c>
      <c r="J99" t="s">
        <v>20</v>
      </c>
      <c r="K99" t="s">
        <v>21</v>
      </c>
      <c r="L99">
        <v>2</v>
      </c>
    </row>
    <row r="100" spans="1:12" ht="15.75" hidden="1" customHeight="1" x14ac:dyDescent="0.15">
      <c r="A100" t="s">
        <v>468</v>
      </c>
      <c r="B100" t="s">
        <v>469</v>
      </c>
      <c r="C100" t="s">
        <v>470</v>
      </c>
      <c r="D100" t="s">
        <v>471</v>
      </c>
      <c r="E100" t="s">
        <v>472</v>
      </c>
      <c r="F100" t="s">
        <v>16</v>
      </c>
      <c r="G100" t="s">
        <v>17</v>
      </c>
      <c r="H100" t="s">
        <v>42</v>
      </c>
      <c r="I100" t="s">
        <v>19</v>
      </c>
      <c r="J100" t="s">
        <v>20</v>
      </c>
      <c r="K100" t="s">
        <v>21</v>
      </c>
      <c r="L100">
        <v>3</v>
      </c>
    </row>
    <row r="101" spans="1:12" ht="15.75" hidden="1" customHeight="1" x14ac:dyDescent="0.15">
      <c r="A101" t="s">
        <v>588</v>
      </c>
      <c r="B101" t="s">
        <v>589</v>
      </c>
      <c r="C101" t="s">
        <v>590</v>
      </c>
      <c r="D101" t="s">
        <v>591</v>
      </c>
      <c r="E101" t="s">
        <v>324</v>
      </c>
      <c r="F101" t="s">
        <v>16</v>
      </c>
      <c r="G101" t="s">
        <v>17</v>
      </c>
      <c r="H101" t="s">
        <v>42</v>
      </c>
      <c r="I101" t="s">
        <v>19</v>
      </c>
      <c r="J101" t="s">
        <v>20</v>
      </c>
      <c r="K101" t="s">
        <v>21</v>
      </c>
      <c r="L101">
        <v>4</v>
      </c>
    </row>
    <row r="102" spans="1:12" ht="15.75" hidden="1" customHeight="1" x14ac:dyDescent="0.15">
      <c r="A102" t="s">
        <v>1117</v>
      </c>
      <c r="B102" t="s">
        <v>1118</v>
      </c>
      <c r="C102" t="s">
        <v>1119</v>
      </c>
      <c r="D102" t="s">
        <v>1120</v>
      </c>
      <c r="E102" t="s">
        <v>1120</v>
      </c>
      <c r="F102" t="s">
        <v>16</v>
      </c>
      <c r="G102" t="s">
        <v>17</v>
      </c>
      <c r="H102" t="s">
        <v>42</v>
      </c>
      <c r="I102" t="s">
        <v>19</v>
      </c>
      <c r="J102" t="s">
        <v>20</v>
      </c>
      <c r="K102" t="s">
        <v>21</v>
      </c>
      <c r="L102">
        <v>5</v>
      </c>
    </row>
    <row r="103" spans="1:12" ht="15.75" hidden="1" customHeight="1" x14ac:dyDescent="0.15">
      <c r="A103" s="1" t="s">
        <v>145</v>
      </c>
      <c r="B103" s="1" t="s">
        <v>146</v>
      </c>
      <c r="C103" s="1" t="s">
        <v>147</v>
      </c>
      <c r="D103" s="1" t="s">
        <v>148</v>
      </c>
      <c r="E103" s="1" t="s">
        <v>149</v>
      </c>
      <c r="F103" s="1" t="s">
        <v>16</v>
      </c>
      <c r="G103" s="1" t="s">
        <v>17</v>
      </c>
      <c r="H103" s="1" t="s">
        <v>150</v>
      </c>
      <c r="I103" s="1" t="s">
        <v>19</v>
      </c>
      <c r="J103" s="1" t="s">
        <v>20</v>
      </c>
      <c r="K103" s="1" t="s">
        <v>21</v>
      </c>
      <c r="L103">
        <v>1</v>
      </c>
    </row>
    <row r="104" spans="1:12" ht="15.75" hidden="1" customHeight="1" x14ac:dyDescent="0.15">
      <c r="A104" s="1" t="s">
        <v>166</v>
      </c>
      <c r="B104" s="1" t="s">
        <v>167</v>
      </c>
      <c r="C104" s="1" t="s">
        <v>168</v>
      </c>
      <c r="D104" s="1" t="s">
        <v>169</v>
      </c>
      <c r="E104" s="1" t="s">
        <v>170</v>
      </c>
      <c r="F104" s="1" t="s">
        <v>16</v>
      </c>
      <c r="G104" s="1" t="s">
        <v>17</v>
      </c>
      <c r="H104" s="1" t="s">
        <v>150</v>
      </c>
      <c r="I104" s="1" t="s">
        <v>19</v>
      </c>
      <c r="J104" s="1" t="s">
        <v>20</v>
      </c>
      <c r="K104" s="1" t="s">
        <v>21</v>
      </c>
      <c r="L104">
        <v>2</v>
      </c>
    </row>
    <row r="105" spans="1:12" ht="15.75" hidden="1" customHeight="1" x14ac:dyDescent="0.15">
      <c r="A105" t="s">
        <v>592</v>
      </c>
      <c r="B105" t="s">
        <v>593</v>
      </c>
      <c r="C105" t="s">
        <v>594</v>
      </c>
      <c r="D105" t="s">
        <v>595</v>
      </c>
      <c r="E105" t="s">
        <v>596</v>
      </c>
      <c r="F105" t="s">
        <v>16</v>
      </c>
      <c r="G105" t="s">
        <v>17</v>
      </c>
      <c r="H105" t="s">
        <v>150</v>
      </c>
      <c r="I105" t="s">
        <v>19</v>
      </c>
      <c r="J105" t="s">
        <v>20</v>
      </c>
      <c r="K105" t="s">
        <v>21</v>
      </c>
      <c r="L105">
        <v>3</v>
      </c>
    </row>
    <row r="106" spans="1:12" ht="15.75" hidden="1" customHeight="1" x14ac:dyDescent="0.15">
      <c r="A106" t="s">
        <v>984</v>
      </c>
      <c r="B106" t="s">
        <v>985</v>
      </c>
      <c r="C106" t="s">
        <v>986</v>
      </c>
      <c r="D106" t="s">
        <v>987</v>
      </c>
      <c r="E106" t="s">
        <v>988</v>
      </c>
      <c r="F106" t="s">
        <v>16</v>
      </c>
      <c r="G106" t="s">
        <v>17</v>
      </c>
      <c r="H106" t="s">
        <v>150</v>
      </c>
      <c r="I106" t="s">
        <v>19</v>
      </c>
      <c r="J106" t="s">
        <v>20</v>
      </c>
      <c r="K106" t="s">
        <v>21</v>
      </c>
      <c r="L106">
        <v>4</v>
      </c>
    </row>
    <row r="107" spans="1:12" ht="15.75" hidden="1" customHeight="1" x14ac:dyDescent="0.15">
      <c r="A107" t="s">
        <v>186</v>
      </c>
      <c r="B107" t="s">
        <v>187</v>
      </c>
      <c r="C107" t="s">
        <v>188</v>
      </c>
      <c r="D107" t="s">
        <v>189</v>
      </c>
      <c r="E107" t="s">
        <v>190</v>
      </c>
      <c r="F107" t="s">
        <v>16</v>
      </c>
      <c r="G107" t="s">
        <v>17</v>
      </c>
      <c r="H107" t="s">
        <v>36</v>
      </c>
      <c r="I107" t="s">
        <v>19</v>
      </c>
      <c r="J107" t="s">
        <v>20</v>
      </c>
      <c r="K107" t="s">
        <v>21</v>
      </c>
      <c r="L107">
        <v>1</v>
      </c>
    </row>
    <row r="108" spans="1:12" ht="15.75" hidden="1" customHeight="1" x14ac:dyDescent="0.15">
      <c r="A108" t="s">
        <v>692</v>
      </c>
      <c r="B108" t="s">
        <v>693</v>
      </c>
      <c r="C108" t="s">
        <v>694</v>
      </c>
      <c r="D108" t="s">
        <v>695</v>
      </c>
      <c r="E108" t="s">
        <v>696</v>
      </c>
      <c r="F108" t="s">
        <v>16</v>
      </c>
      <c r="G108" t="s">
        <v>17</v>
      </c>
      <c r="H108" t="s">
        <v>36</v>
      </c>
      <c r="I108" t="s">
        <v>19</v>
      </c>
      <c r="J108" t="s">
        <v>20</v>
      </c>
      <c r="K108" t="s">
        <v>21</v>
      </c>
      <c r="L108">
        <v>2</v>
      </c>
    </row>
    <row r="109" spans="1:12" ht="15.75" hidden="1" customHeight="1" x14ac:dyDescent="0.15">
      <c r="A109" t="s">
        <v>1284</v>
      </c>
      <c r="B109" t="s">
        <v>1285</v>
      </c>
      <c r="C109" t="s">
        <v>1286</v>
      </c>
      <c r="D109" t="s">
        <v>1287</v>
      </c>
      <c r="E109" t="s">
        <v>1288</v>
      </c>
      <c r="F109" t="s">
        <v>16</v>
      </c>
      <c r="G109" t="s">
        <v>17</v>
      </c>
      <c r="H109" t="s">
        <v>36</v>
      </c>
      <c r="I109" t="s">
        <v>19</v>
      </c>
      <c r="J109" t="s">
        <v>20</v>
      </c>
      <c r="K109" t="s">
        <v>21</v>
      </c>
      <c r="L109">
        <v>3</v>
      </c>
    </row>
    <row r="110" spans="1:12" ht="15.75" hidden="1" customHeight="1" x14ac:dyDescent="0.15">
      <c r="A110" t="s">
        <v>1498</v>
      </c>
      <c r="B110" t="s">
        <v>1499</v>
      </c>
      <c r="C110" t="s">
        <v>1500</v>
      </c>
      <c r="D110" t="s">
        <v>1501</v>
      </c>
      <c r="E110" t="s">
        <v>1502</v>
      </c>
      <c r="F110" t="s">
        <v>16</v>
      </c>
      <c r="G110" t="s">
        <v>17</v>
      </c>
      <c r="H110" t="s">
        <v>36</v>
      </c>
      <c r="I110" t="s">
        <v>19</v>
      </c>
      <c r="J110" t="s">
        <v>20</v>
      </c>
      <c r="K110" t="s">
        <v>21</v>
      </c>
      <c r="L110">
        <v>4</v>
      </c>
    </row>
    <row r="111" spans="1:12" ht="15.75" hidden="1" customHeight="1" x14ac:dyDescent="0.15">
      <c r="A111" t="s">
        <v>1598</v>
      </c>
      <c r="B111" t="s">
        <v>1599</v>
      </c>
      <c r="C111" t="s">
        <v>1600</v>
      </c>
      <c r="D111" t="s">
        <v>1601</v>
      </c>
      <c r="E111" t="s">
        <v>1602</v>
      </c>
      <c r="F111" t="s">
        <v>16</v>
      </c>
      <c r="G111" t="s">
        <v>17</v>
      </c>
      <c r="H111" t="s">
        <v>36</v>
      </c>
      <c r="I111" t="s">
        <v>19</v>
      </c>
      <c r="J111" t="s">
        <v>20</v>
      </c>
      <c r="K111" t="s">
        <v>21</v>
      </c>
      <c r="L111">
        <v>5</v>
      </c>
    </row>
    <row r="112" spans="1:12" ht="15.75" customHeight="1" x14ac:dyDescent="0.15">
      <c r="A112" t="s">
        <v>1239</v>
      </c>
      <c r="B112" t="s">
        <v>1240</v>
      </c>
      <c r="C112" t="s">
        <v>1241</v>
      </c>
      <c r="D112" t="s">
        <v>1242</v>
      </c>
      <c r="E112" t="s">
        <v>1243</v>
      </c>
      <c r="F112" t="s">
        <v>16</v>
      </c>
      <c r="G112" t="s">
        <v>17</v>
      </c>
      <c r="H112" t="s">
        <v>150</v>
      </c>
      <c r="I112" t="s">
        <v>29</v>
      </c>
      <c r="J112" t="s">
        <v>30</v>
      </c>
      <c r="K112" t="s">
        <v>21</v>
      </c>
      <c r="L112">
        <v>4</v>
      </c>
    </row>
    <row r="113" spans="1:12" ht="15.75" customHeight="1" x14ac:dyDescent="0.15">
      <c r="A113" t="s">
        <v>1319</v>
      </c>
      <c r="B113" t="s">
        <v>1320</v>
      </c>
      <c r="C113" t="s">
        <v>1321</v>
      </c>
      <c r="D113" t="s">
        <v>1322</v>
      </c>
      <c r="E113" t="s">
        <v>1323</v>
      </c>
      <c r="F113" t="s">
        <v>16</v>
      </c>
      <c r="G113" t="s">
        <v>17</v>
      </c>
      <c r="H113" t="s">
        <v>150</v>
      </c>
      <c r="I113" t="s">
        <v>29</v>
      </c>
      <c r="J113" t="s">
        <v>30</v>
      </c>
      <c r="K113" t="s">
        <v>21</v>
      </c>
      <c r="L113">
        <v>5</v>
      </c>
    </row>
    <row r="114" spans="1:12" ht="15.75" customHeight="1" x14ac:dyDescent="0.15">
      <c r="A114" s="1" t="s">
        <v>31</v>
      </c>
      <c r="B114" s="2" t="s">
        <v>32</v>
      </c>
      <c r="C114" s="1" t="s">
        <v>33</v>
      </c>
      <c r="D114" s="1" t="s">
        <v>34</v>
      </c>
      <c r="E114" s="1" t="s">
        <v>35</v>
      </c>
      <c r="F114" s="1" t="s">
        <v>16</v>
      </c>
      <c r="G114" s="1" t="s">
        <v>17</v>
      </c>
      <c r="H114" s="1" t="s">
        <v>36</v>
      </c>
      <c r="I114" s="1" t="s">
        <v>29</v>
      </c>
      <c r="J114" s="1" t="s">
        <v>30</v>
      </c>
      <c r="K114" s="1" t="s">
        <v>21</v>
      </c>
      <c r="L114">
        <v>1</v>
      </c>
    </row>
    <row r="115" spans="1:12" ht="15.75" customHeight="1" x14ac:dyDescent="0.15">
      <c r="A115" s="1" t="s">
        <v>93</v>
      </c>
      <c r="B115" s="1" t="s">
        <v>94</v>
      </c>
      <c r="C115" s="1" t="s">
        <v>95</v>
      </c>
      <c r="D115" s="1" t="s">
        <v>96</v>
      </c>
      <c r="E115" s="1" t="s">
        <v>97</v>
      </c>
      <c r="F115" s="1" t="s">
        <v>16</v>
      </c>
      <c r="G115" s="1" t="s">
        <v>17</v>
      </c>
      <c r="H115" s="1" t="s">
        <v>36</v>
      </c>
      <c r="I115" s="1" t="s">
        <v>29</v>
      </c>
      <c r="J115" s="1" t="s">
        <v>30</v>
      </c>
      <c r="K115" s="1" t="s">
        <v>21</v>
      </c>
      <c r="L115">
        <v>2</v>
      </c>
    </row>
    <row r="116" spans="1:12" ht="15.75" customHeight="1" x14ac:dyDescent="0.15">
      <c r="A116" t="s">
        <v>1478</v>
      </c>
      <c r="B116" t="s">
        <v>1479</v>
      </c>
      <c r="C116" t="s">
        <v>1480</v>
      </c>
      <c r="D116" t="s">
        <v>1481</v>
      </c>
      <c r="E116" t="s">
        <v>1482</v>
      </c>
      <c r="F116" t="s">
        <v>16</v>
      </c>
      <c r="G116" t="s">
        <v>17</v>
      </c>
      <c r="H116" t="s">
        <v>36</v>
      </c>
      <c r="I116" t="s">
        <v>29</v>
      </c>
      <c r="J116" t="s">
        <v>30</v>
      </c>
      <c r="K116" t="s">
        <v>21</v>
      </c>
      <c r="L116">
        <v>4</v>
      </c>
    </row>
    <row r="117" spans="1:12" ht="15.75" customHeight="1" x14ac:dyDescent="0.15">
      <c r="A117" t="s">
        <v>1638</v>
      </c>
      <c r="B117" t="s">
        <v>1639</v>
      </c>
      <c r="C117" t="s">
        <v>1640</v>
      </c>
      <c r="D117" t="s">
        <v>1641</v>
      </c>
      <c r="E117" t="s">
        <v>1642</v>
      </c>
      <c r="F117" t="s">
        <v>16</v>
      </c>
      <c r="G117" t="s">
        <v>17</v>
      </c>
      <c r="H117" t="s">
        <v>36</v>
      </c>
      <c r="I117" t="s">
        <v>29</v>
      </c>
      <c r="J117" t="s">
        <v>30</v>
      </c>
      <c r="K117" t="s">
        <v>21</v>
      </c>
      <c r="L117">
        <v>5</v>
      </c>
    </row>
    <row r="118" spans="1:12" ht="15.75" customHeight="1" x14ac:dyDescent="0.15">
      <c r="A118" s="1" t="s">
        <v>22</v>
      </c>
      <c r="B118" s="1" t="s">
        <v>23</v>
      </c>
      <c r="C118" s="1" t="s">
        <v>24</v>
      </c>
      <c r="D118" s="1" t="s">
        <v>25</v>
      </c>
      <c r="E118" s="1" t="s">
        <v>26</v>
      </c>
      <c r="F118" s="1" t="s">
        <v>27</v>
      </c>
      <c r="G118" s="1" t="s">
        <v>17</v>
      </c>
      <c r="H118" s="1" t="s">
        <v>28</v>
      </c>
      <c r="I118" s="1" t="s">
        <v>29</v>
      </c>
      <c r="J118" s="1" t="s">
        <v>30</v>
      </c>
      <c r="K118" s="1" t="s">
        <v>21</v>
      </c>
    </row>
    <row r="119" spans="1:12" ht="15.75" customHeight="1" x14ac:dyDescent="0.15">
      <c r="A119" t="s">
        <v>216</v>
      </c>
      <c r="B119" t="s">
        <v>217</v>
      </c>
      <c r="C119" t="s">
        <v>218</v>
      </c>
      <c r="D119" t="s">
        <v>219</v>
      </c>
      <c r="E119" t="s">
        <v>220</v>
      </c>
      <c r="F119" t="s">
        <v>27</v>
      </c>
      <c r="G119" t="s">
        <v>17</v>
      </c>
      <c r="H119" t="s">
        <v>28</v>
      </c>
      <c r="I119" t="s">
        <v>29</v>
      </c>
      <c r="J119" t="s">
        <v>30</v>
      </c>
      <c r="K119" t="s">
        <v>21</v>
      </c>
    </row>
    <row r="120" spans="1:12" ht="15.75" customHeight="1" x14ac:dyDescent="0.15">
      <c r="A120" t="s">
        <v>250</v>
      </c>
      <c r="B120" t="s">
        <v>251</v>
      </c>
      <c r="C120" t="s">
        <v>252</v>
      </c>
      <c r="D120" t="s">
        <v>253</v>
      </c>
      <c r="E120" t="s">
        <v>254</v>
      </c>
      <c r="F120" t="s">
        <v>27</v>
      </c>
      <c r="G120" t="s">
        <v>17</v>
      </c>
      <c r="H120" t="s">
        <v>28</v>
      </c>
      <c r="I120" t="s">
        <v>29</v>
      </c>
      <c r="J120" t="s">
        <v>30</v>
      </c>
      <c r="K120" t="s">
        <v>21</v>
      </c>
    </row>
    <row r="121" spans="1:12" ht="15.75" customHeight="1" x14ac:dyDescent="0.15">
      <c r="A121" t="s">
        <v>334</v>
      </c>
      <c r="B121" t="s">
        <v>335</v>
      </c>
      <c r="C121" t="s">
        <v>336</v>
      </c>
      <c r="D121" t="s">
        <v>337</v>
      </c>
      <c r="E121" t="s">
        <v>338</v>
      </c>
      <c r="F121" t="s">
        <v>27</v>
      </c>
      <c r="G121" t="s">
        <v>17</v>
      </c>
      <c r="H121" t="s">
        <v>28</v>
      </c>
      <c r="I121" t="s">
        <v>29</v>
      </c>
      <c r="J121" t="s">
        <v>30</v>
      </c>
      <c r="K121" t="s">
        <v>21</v>
      </c>
    </row>
    <row r="122" spans="1:12" ht="15.75" hidden="1" customHeight="1" x14ac:dyDescent="0.15">
      <c r="A122" t="s">
        <v>260</v>
      </c>
      <c r="B122" t="s">
        <v>261</v>
      </c>
      <c r="C122" t="s">
        <v>262</v>
      </c>
      <c r="D122" t="s">
        <v>263</v>
      </c>
      <c r="E122" t="s">
        <v>264</v>
      </c>
      <c r="F122" t="s">
        <v>27</v>
      </c>
      <c r="G122" t="s">
        <v>17</v>
      </c>
      <c r="H122" t="s">
        <v>28</v>
      </c>
      <c r="I122" t="s">
        <v>50</v>
      </c>
      <c r="J122" t="s">
        <v>51</v>
      </c>
      <c r="K122" t="s">
        <v>52</v>
      </c>
    </row>
    <row r="123" spans="1:12" ht="15.75" hidden="1" customHeight="1" x14ac:dyDescent="0.15">
      <c r="A123" t="s">
        <v>344</v>
      </c>
      <c r="B123" t="s">
        <v>345</v>
      </c>
      <c r="C123" t="s">
        <v>346</v>
      </c>
      <c r="D123" t="s">
        <v>347</v>
      </c>
      <c r="E123" t="s">
        <v>348</v>
      </c>
      <c r="F123" t="s">
        <v>27</v>
      </c>
      <c r="G123" t="s">
        <v>17</v>
      </c>
      <c r="H123" t="s">
        <v>28</v>
      </c>
      <c r="I123" t="s">
        <v>50</v>
      </c>
      <c r="J123" t="s">
        <v>51</v>
      </c>
      <c r="K123" t="s">
        <v>52</v>
      </c>
    </row>
    <row r="124" spans="1:12" ht="15.75" hidden="1" customHeight="1" x14ac:dyDescent="0.15">
      <c r="A124" t="s">
        <v>354</v>
      </c>
      <c r="B124" t="s">
        <v>355</v>
      </c>
      <c r="C124" t="s">
        <v>356</v>
      </c>
      <c r="D124" t="s">
        <v>357</v>
      </c>
      <c r="E124" t="s">
        <v>358</v>
      </c>
      <c r="F124" t="s">
        <v>27</v>
      </c>
      <c r="G124" t="s">
        <v>17</v>
      </c>
      <c r="H124" t="s">
        <v>28</v>
      </c>
      <c r="I124" t="s">
        <v>50</v>
      </c>
      <c r="J124" t="s">
        <v>51</v>
      </c>
      <c r="K124" t="s">
        <v>52</v>
      </c>
    </row>
    <row r="125" spans="1:12" ht="15.75" hidden="1" customHeight="1" x14ac:dyDescent="0.15">
      <c r="A125" t="s">
        <v>453</v>
      </c>
      <c r="B125" t="s">
        <v>454</v>
      </c>
      <c r="C125" t="s">
        <v>455</v>
      </c>
      <c r="D125" t="s">
        <v>456</v>
      </c>
      <c r="E125" t="s">
        <v>457</v>
      </c>
      <c r="F125" t="s">
        <v>27</v>
      </c>
      <c r="G125" t="s">
        <v>17</v>
      </c>
      <c r="H125" t="s">
        <v>28</v>
      </c>
      <c r="I125" t="s">
        <v>50</v>
      </c>
      <c r="J125" t="s">
        <v>51</v>
      </c>
      <c r="K125" t="s">
        <v>52</v>
      </c>
    </row>
    <row r="126" spans="1:12" ht="15.75" hidden="1" customHeight="1" x14ac:dyDescent="0.15">
      <c r="A126" t="s">
        <v>856</v>
      </c>
      <c r="B126" t="s">
        <v>857</v>
      </c>
      <c r="C126" t="s">
        <v>858</v>
      </c>
      <c r="D126" t="s">
        <v>859</v>
      </c>
      <c r="E126" t="s">
        <v>855</v>
      </c>
      <c r="F126" t="s">
        <v>27</v>
      </c>
      <c r="G126" t="s">
        <v>17</v>
      </c>
      <c r="H126" t="s">
        <v>28</v>
      </c>
      <c r="I126" t="s">
        <v>50</v>
      </c>
      <c r="J126" t="s">
        <v>51</v>
      </c>
      <c r="K126" t="s">
        <v>52</v>
      </c>
    </row>
    <row r="127" spans="1:12" ht="15.75" hidden="1" customHeight="1" x14ac:dyDescent="0.15">
      <c r="A127" t="s">
        <v>939</v>
      </c>
      <c r="B127" t="s">
        <v>940</v>
      </c>
      <c r="C127" t="s">
        <v>941</v>
      </c>
      <c r="D127" t="s">
        <v>942</v>
      </c>
      <c r="E127" t="s">
        <v>943</v>
      </c>
      <c r="F127" t="s">
        <v>27</v>
      </c>
      <c r="G127" t="s">
        <v>17</v>
      </c>
      <c r="H127" t="s">
        <v>28</v>
      </c>
      <c r="I127" t="s">
        <v>50</v>
      </c>
      <c r="J127" t="s">
        <v>51</v>
      </c>
      <c r="K127" t="s">
        <v>52</v>
      </c>
    </row>
    <row r="128" spans="1:12" ht="15.75" hidden="1" customHeight="1" x14ac:dyDescent="0.15">
      <c r="A128" t="s">
        <v>944</v>
      </c>
      <c r="B128" t="s">
        <v>945</v>
      </c>
      <c r="C128" t="s">
        <v>946</v>
      </c>
      <c r="D128" t="s">
        <v>947</v>
      </c>
      <c r="E128" t="s">
        <v>948</v>
      </c>
      <c r="F128" t="s">
        <v>27</v>
      </c>
      <c r="G128" t="s">
        <v>17</v>
      </c>
      <c r="H128" t="s">
        <v>28</v>
      </c>
      <c r="I128" t="s">
        <v>50</v>
      </c>
      <c r="J128" t="s">
        <v>51</v>
      </c>
      <c r="K128" t="s">
        <v>52</v>
      </c>
    </row>
    <row r="129" spans="1:11" ht="15.75" hidden="1" customHeight="1" x14ac:dyDescent="0.15">
      <c r="A129" t="s">
        <v>1004</v>
      </c>
      <c r="B129" t="s">
        <v>1005</v>
      </c>
      <c r="C129" t="s">
        <v>1006</v>
      </c>
      <c r="D129" t="s">
        <v>1007</v>
      </c>
      <c r="E129" t="s">
        <v>1008</v>
      </c>
      <c r="F129" t="s">
        <v>27</v>
      </c>
      <c r="G129" t="s">
        <v>17</v>
      </c>
      <c r="H129" t="s">
        <v>28</v>
      </c>
      <c r="I129" t="s">
        <v>50</v>
      </c>
      <c r="J129" t="s">
        <v>51</v>
      </c>
      <c r="K129" t="s">
        <v>52</v>
      </c>
    </row>
    <row r="130" spans="1:11" ht="15.75" hidden="1" customHeight="1" x14ac:dyDescent="0.15">
      <c r="A130" t="s">
        <v>1014</v>
      </c>
      <c r="B130" t="s">
        <v>1015</v>
      </c>
      <c r="C130" t="s">
        <v>1016</v>
      </c>
      <c r="D130" t="s">
        <v>1017</v>
      </c>
      <c r="E130" t="s">
        <v>1018</v>
      </c>
      <c r="F130" t="s">
        <v>27</v>
      </c>
      <c r="G130" t="s">
        <v>17</v>
      </c>
      <c r="H130" t="s">
        <v>28</v>
      </c>
      <c r="I130" t="s">
        <v>50</v>
      </c>
      <c r="J130" t="s">
        <v>51</v>
      </c>
      <c r="K130" t="s">
        <v>52</v>
      </c>
    </row>
    <row r="131" spans="1:11" ht="15.75" hidden="1" customHeight="1" x14ac:dyDescent="0.15">
      <c r="A131" t="s">
        <v>1039</v>
      </c>
      <c r="B131" t="s">
        <v>1040</v>
      </c>
      <c r="C131" t="s">
        <v>1041</v>
      </c>
      <c r="D131" t="s">
        <v>1042</v>
      </c>
      <c r="E131" t="s">
        <v>1043</v>
      </c>
      <c r="F131" t="s">
        <v>27</v>
      </c>
      <c r="G131" t="s">
        <v>17</v>
      </c>
      <c r="H131" t="s">
        <v>28</v>
      </c>
      <c r="I131" t="s">
        <v>50</v>
      </c>
      <c r="J131" t="s">
        <v>51</v>
      </c>
      <c r="K131" t="s">
        <v>52</v>
      </c>
    </row>
    <row r="132" spans="1:11" ht="15.75" hidden="1" customHeight="1" x14ac:dyDescent="0.15">
      <c r="A132" t="s">
        <v>1088</v>
      </c>
      <c r="B132" t="s">
        <v>1089</v>
      </c>
      <c r="C132" t="s">
        <v>1090</v>
      </c>
      <c r="D132" t="s">
        <v>1091</v>
      </c>
      <c r="E132" t="s">
        <v>1092</v>
      </c>
      <c r="F132" t="s">
        <v>27</v>
      </c>
      <c r="G132" t="s">
        <v>17</v>
      </c>
      <c r="H132" t="s">
        <v>28</v>
      </c>
      <c r="I132" t="s">
        <v>50</v>
      </c>
      <c r="J132" t="s">
        <v>51</v>
      </c>
      <c r="K132" t="s">
        <v>52</v>
      </c>
    </row>
    <row r="133" spans="1:11" ht="15.75" hidden="1" customHeight="1" x14ac:dyDescent="0.15">
      <c r="A133" t="s">
        <v>1161</v>
      </c>
      <c r="B133" t="s">
        <v>1162</v>
      </c>
      <c r="C133" t="s">
        <v>1163</v>
      </c>
      <c r="D133" t="s">
        <v>1164</v>
      </c>
      <c r="E133" t="s">
        <v>1165</v>
      </c>
      <c r="F133" t="s">
        <v>27</v>
      </c>
      <c r="G133" t="s">
        <v>17</v>
      </c>
      <c r="H133" t="s">
        <v>28</v>
      </c>
      <c r="I133" t="s">
        <v>50</v>
      </c>
      <c r="J133" t="s">
        <v>51</v>
      </c>
      <c r="K133" t="s">
        <v>52</v>
      </c>
    </row>
    <row r="134" spans="1:11" ht="15.75" hidden="1" customHeight="1" x14ac:dyDescent="0.15">
      <c r="A134" t="s">
        <v>1219</v>
      </c>
      <c r="B134" t="s">
        <v>1220</v>
      </c>
      <c r="C134" t="s">
        <v>1221</v>
      </c>
      <c r="D134" t="s">
        <v>1222</v>
      </c>
      <c r="E134" t="s">
        <v>1223</v>
      </c>
      <c r="F134" t="s">
        <v>27</v>
      </c>
      <c r="G134" t="s">
        <v>17</v>
      </c>
      <c r="H134" t="s">
        <v>28</v>
      </c>
      <c r="I134" t="s">
        <v>50</v>
      </c>
      <c r="J134" t="s">
        <v>51</v>
      </c>
      <c r="K134" t="s">
        <v>52</v>
      </c>
    </row>
    <row r="135" spans="1:11" ht="15.75" hidden="1" customHeight="1" x14ac:dyDescent="0.15">
      <c r="A135" t="s">
        <v>1473</v>
      </c>
      <c r="B135" t="s">
        <v>1474</v>
      </c>
      <c r="C135" t="s">
        <v>1475</v>
      </c>
      <c r="D135" t="s">
        <v>1476</v>
      </c>
      <c r="E135" t="s">
        <v>1477</v>
      </c>
      <c r="F135" t="s">
        <v>27</v>
      </c>
      <c r="G135" t="s">
        <v>17</v>
      </c>
      <c r="H135" t="s">
        <v>28</v>
      </c>
      <c r="I135" t="s">
        <v>50</v>
      </c>
      <c r="J135" t="s">
        <v>51</v>
      </c>
      <c r="K135" t="s">
        <v>52</v>
      </c>
    </row>
    <row r="136" spans="1:11" ht="15.75" hidden="1" customHeight="1" x14ac:dyDescent="0.15">
      <c r="A136" t="s">
        <v>1513</v>
      </c>
      <c r="B136" t="s">
        <v>1514</v>
      </c>
      <c r="C136" t="s">
        <v>1515</v>
      </c>
      <c r="D136" t="s">
        <v>1516</v>
      </c>
      <c r="E136" t="s">
        <v>1517</v>
      </c>
      <c r="F136" t="s">
        <v>27</v>
      </c>
      <c r="G136" t="s">
        <v>17</v>
      </c>
      <c r="H136" t="s">
        <v>28</v>
      </c>
      <c r="I136" t="s">
        <v>50</v>
      </c>
      <c r="J136" t="s">
        <v>51</v>
      </c>
      <c r="K136" t="s">
        <v>52</v>
      </c>
    </row>
    <row r="137" spans="1:11" ht="15.75" hidden="1" customHeight="1" x14ac:dyDescent="0.15">
      <c r="A137" t="s">
        <v>235</v>
      </c>
      <c r="B137" t="s">
        <v>236</v>
      </c>
      <c r="C137" t="s">
        <v>237</v>
      </c>
      <c r="D137" t="s">
        <v>238</v>
      </c>
      <c r="E137" t="s">
        <v>239</v>
      </c>
      <c r="F137" t="s">
        <v>27</v>
      </c>
      <c r="G137" t="s">
        <v>17</v>
      </c>
      <c r="H137" t="s">
        <v>28</v>
      </c>
      <c r="I137" t="s">
        <v>19</v>
      </c>
      <c r="J137" t="s">
        <v>20</v>
      </c>
      <c r="K137" t="s">
        <v>21</v>
      </c>
    </row>
    <row r="138" spans="1:11" ht="15.75" hidden="1" customHeight="1" x14ac:dyDescent="0.15">
      <c r="A138" t="s">
        <v>275</v>
      </c>
      <c r="B138" t="s">
        <v>276</v>
      </c>
      <c r="C138" t="s">
        <v>277</v>
      </c>
      <c r="D138" t="s">
        <v>278</v>
      </c>
      <c r="E138" t="s">
        <v>279</v>
      </c>
      <c r="F138" t="s">
        <v>27</v>
      </c>
      <c r="G138" t="s">
        <v>17</v>
      </c>
      <c r="H138" t="s">
        <v>28</v>
      </c>
      <c r="I138" t="s">
        <v>19</v>
      </c>
      <c r="J138" t="s">
        <v>20</v>
      </c>
      <c r="K138" t="s">
        <v>21</v>
      </c>
    </row>
    <row r="139" spans="1:11" ht="15.75" hidden="1" customHeight="1" x14ac:dyDescent="0.15">
      <c r="A139" t="s">
        <v>433</v>
      </c>
      <c r="B139" t="s">
        <v>434</v>
      </c>
      <c r="C139" t="s">
        <v>435</v>
      </c>
      <c r="D139" t="s">
        <v>436</v>
      </c>
      <c r="E139" t="s">
        <v>437</v>
      </c>
      <c r="F139" t="s">
        <v>27</v>
      </c>
      <c r="G139" t="s">
        <v>17</v>
      </c>
      <c r="H139" t="s">
        <v>28</v>
      </c>
      <c r="I139" t="s">
        <v>19</v>
      </c>
      <c r="J139" t="s">
        <v>20</v>
      </c>
      <c r="K139" t="s">
        <v>21</v>
      </c>
    </row>
    <row r="140" spans="1:11" ht="15.75" hidden="1" customHeight="1" x14ac:dyDescent="0.15">
      <c r="A140" t="s">
        <v>488</v>
      </c>
      <c r="B140" t="s">
        <v>489</v>
      </c>
      <c r="C140" t="s">
        <v>490</v>
      </c>
      <c r="D140" t="s">
        <v>491</v>
      </c>
      <c r="E140" t="s">
        <v>492</v>
      </c>
      <c r="F140" t="s">
        <v>27</v>
      </c>
      <c r="G140" t="s">
        <v>17</v>
      </c>
      <c r="H140" t="s">
        <v>28</v>
      </c>
      <c r="I140" t="s">
        <v>19</v>
      </c>
      <c r="J140" t="s">
        <v>20</v>
      </c>
      <c r="K140" t="s">
        <v>21</v>
      </c>
    </row>
    <row r="141" spans="1:11" ht="15.75" hidden="1" customHeight="1" x14ac:dyDescent="0.15">
      <c r="A141" t="s">
        <v>642</v>
      </c>
      <c r="B141" t="s">
        <v>643</v>
      </c>
      <c r="C141" t="s">
        <v>644</v>
      </c>
      <c r="D141" t="s">
        <v>645</v>
      </c>
      <c r="E141" t="s">
        <v>646</v>
      </c>
      <c r="F141" t="s">
        <v>27</v>
      </c>
      <c r="G141" t="s">
        <v>17</v>
      </c>
      <c r="H141" t="s">
        <v>28</v>
      </c>
      <c r="I141" t="s">
        <v>19</v>
      </c>
      <c r="J141" t="s">
        <v>20</v>
      </c>
      <c r="K141" t="s">
        <v>21</v>
      </c>
    </row>
    <row r="142" spans="1:11" ht="15.75" hidden="1" customHeight="1" x14ac:dyDescent="0.15">
      <c r="A142" t="s">
        <v>776</v>
      </c>
      <c r="B142" t="s">
        <v>777</v>
      </c>
      <c r="C142" t="s">
        <v>778</v>
      </c>
      <c r="D142" t="s">
        <v>779</v>
      </c>
      <c r="E142" t="s">
        <v>780</v>
      </c>
      <c r="F142" t="s">
        <v>27</v>
      </c>
      <c r="G142" t="s">
        <v>17</v>
      </c>
      <c r="H142" t="s">
        <v>28</v>
      </c>
      <c r="I142" t="s">
        <v>19</v>
      </c>
      <c r="J142" t="s">
        <v>20</v>
      </c>
      <c r="K142" t="s">
        <v>21</v>
      </c>
    </row>
    <row r="143" spans="1:11" ht="15.75" hidden="1" customHeight="1" x14ac:dyDescent="0.15">
      <c r="A143" t="s">
        <v>786</v>
      </c>
      <c r="B143" t="s">
        <v>787</v>
      </c>
      <c r="C143" t="s">
        <v>788</v>
      </c>
      <c r="D143" t="s">
        <v>789</v>
      </c>
      <c r="E143" t="s">
        <v>790</v>
      </c>
      <c r="F143" t="s">
        <v>27</v>
      </c>
      <c r="G143" t="s">
        <v>17</v>
      </c>
      <c r="H143" t="s">
        <v>28</v>
      </c>
      <c r="I143" t="s">
        <v>19</v>
      </c>
      <c r="J143" t="s">
        <v>20</v>
      </c>
      <c r="K143" t="s">
        <v>21</v>
      </c>
    </row>
    <row r="144" spans="1:11" ht="15.75" hidden="1" customHeight="1" x14ac:dyDescent="0.15">
      <c r="A144" t="s">
        <v>796</v>
      </c>
      <c r="B144" t="s">
        <v>797</v>
      </c>
      <c r="C144" t="s">
        <v>798</v>
      </c>
      <c r="D144" t="s">
        <v>799</v>
      </c>
      <c r="E144" t="s">
        <v>800</v>
      </c>
      <c r="F144" t="s">
        <v>27</v>
      </c>
      <c r="G144" t="s">
        <v>17</v>
      </c>
      <c r="H144" t="s">
        <v>28</v>
      </c>
      <c r="I144" t="s">
        <v>19</v>
      </c>
      <c r="J144" t="s">
        <v>20</v>
      </c>
      <c r="K144" t="s">
        <v>21</v>
      </c>
    </row>
    <row r="145" spans="1:11" ht="15.75" hidden="1" customHeight="1" x14ac:dyDescent="0.15">
      <c r="A145" t="s">
        <v>875</v>
      </c>
      <c r="B145" t="s">
        <v>876</v>
      </c>
      <c r="C145" t="s">
        <v>877</v>
      </c>
      <c r="D145" t="s">
        <v>878</v>
      </c>
      <c r="E145" t="s">
        <v>879</v>
      </c>
      <c r="F145" t="s">
        <v>27</v>
      </c>
      <c r="G145" t="s">
        <v>17</v>
      </c>
      <c r="H145" t="s">
        <v>28</v>
      </c>
      <c r="I145" t="s">
        <v>19</v>
      </c>
      <c r="J145" t="s">
        <v>20</v>
      </c>
      <c r="K145" t="s">
        <v>21</v>
      </c>
    </row>
    <row r="146" spans="1:11" ht="15.75" hidden="1" customHeight="1" x14ac:dyDescent="0.15">
      <c r="A146" t="s">
        <v>895</v>
      </c>
      <c r="B146" t="s">
        <v>896</v>
      </c>
      <c r="C146" t="s">
        <v>897</v>
      </c>
      <c r="D146" t="s">
        <v>898</v>
      </c>
      <c r="E146" t="s">
        <v>41</v>
      </c>
      <c r="F146" t="s">
        <v>27</v>
      </c>
      <c r="G146" t="s">
        <v>17</v>
      </c>
      <c r="H146" t="s">
        <v>28</v>
      </c>
      <c r="I146" t="s">
        <v>19</v>
      </c>
      <c r="J146" t="s">
        <v>20</v>
      </c>
      <c r="K146" t="s">
        <v>21</v>
      </c>
    </row>
    <row r="147" spans="1:11" ht="15.75" hidden="1" customHeight="1" x14ac:dyDescent="0.15">
      <c r="A147" t="s">
        <v>1054</v>
      </c>
      <c r="B147" t="s">
        <v>1055</v>
      </c>
      <c r="C147" t="s">
        <v>1056</v>
      </c>
      <c r="D147" t="s">
        <v>1057</v>
      </c>
      <c r="E147" t="s">
        <v>542</v>
      </c>
      <c r="F147" t="s">
        <v>27</v>
      </c>
      <c r="G147" t="s">
        <v>17</v>
      </c>
      <c r="H147" t="s">
        <v>28</v>
      </c>
      <c r="I147" t="s">
        <v>19</v>
      </c>
      <c r="J147" t="s">
        <v>20</v>
      </c>
      <c r="K147" t="s">
        <v>21</v>
      </c>
    </row>
    <row r="148" spans="1:11" ht="15.75" hidden="1" customHeight="1" x14ac:dyDescent="0.15">
      <c r="A148" t="s">
        <v>1063</v>
      </c>
      <c r="B148" t="s">
        <v>1064</v>
      </c>
      <c r="C148" t="s">
        <v>1065</v>
      </c>
      <c r="D148" t="s">
        <v>1066</v>
      </c>
      <c r="E148" t="s">
        <v>1067</v>
      </c>
      <c r="F148" t="s">
        <v>27</v>
      </c>
      <c r="G148" t="s">
        <v>17</v>
      </c>
      <c r="H148" t="s">
        <v>28</v>
      </c>
      <c r="I148" t="s">
        <v>19</v>
      </c>
      <c r="J148" t="s">
        <v>20</v>
      </c>
      <c r="K148" t="s">
        <v>21</v>
      </c>
    </row>
    <row r="149" spans="1:11" ht="15.75" customHeight="1" x14ac:dyDescent="0.15">
      <c r="A149" t="s">
        <v>394</v>
      </c>
      <c r="B149" t="s">
        <v>395</v>
      </c>
      <c r="C149" t="s">
        <v>396</v>
      </c>
      <c r="D149" t="s">
        <v>397</v>
      </c>
      <c r="E149" t="s">
        <v>398</v>
      </c>
      <c r="F149" t="s">
        <v>27</v>
      </c>
      <c r="G149" t="s">
        <v>17</v>
      </c>
      <c r="H149" t="s">
        <v>28</v>
      </c>
      <c r="I149" t="s">
        <v>29</v>
      </c>
      <c r="J149" t="s">
        <v>30</v>
      </c>
      <c r="K149" t="s">
        <v>21</v>
      </c>
    </row>
    <row r="150" spans="1:11" ht="15.75" customHeight="1" x14ac:dyDescent="0.15">
      <c r="A150" t="s">
        <v>508</v>
      </c>
      <c r="B150" t="s">
        <v>509</v>
      </c>
      <c r="C150" t="s">
        <v>510</v>
      </c>
      <c r="D150" t="s">
        <v>511</v>
      </c>
      <c r="E150" t="s">
        <v>512</v>
      </c>
      <c r="F150" t="s">
        <v>27</v>
      </c>
      <c r="G150" t="s">
        <v>17</v>
      </c>
      <c r="H150" t="s">
        <v>28</v>
      </c>
      <c r="I150" t="s">
        <v>29</v>
      </c>
      <c r="J150" t="s">
        <v>30</v>
      </c>
      <c r="K150" t="s">
        <v>21</v>
      </c>
    </row>
    <row r="151" spans="1:11" ht="15.75" customHeight="1" x14ac:dyDescent="0.15">
      <c r="A151" t="s">
        <v>702</v>
      </c>
      <c r="B151" t="s">
        <v>703</v>
      </c>
      <c r="C151" t="s">
        <v>704</v>
      </c>
      <c r="D151" t="s">
        <v>705</v>
      </c>
      <c r="E151" t="s">
        <v>706</v>
      </c>
      <c r="F151" t="s">
        <v>27</v>
      </c>
      <c r="G151" t="s">
        <v>17</v>
      </c>
      <c r="H151" t="s">
        <v>28</v>
      </c>
      <c r="I151" t="s">
        <v>29</v>
      </c>
      <c r="J151" t="s">
        <v>30</v>
      </c>
      <c r="K151" t="s">
        <v>21</v>
      </c>
    </row>
    <row r="152" spans="1:11" ht="15.75" customHeight="1" x14ac:dyDescent="0.15">
      <c r="A152" t="s">
        <v>717</v>
      </c>
      <c r="B152" t="s">
        <v>718</v>
      </c>
      <c r="C152" t="s">
        <v>719</v>
      </c>
      <c r="D152" t="s">
        <v>720</v>
      </c>
      <c r="E152" t="s">
        <v>721</v>
      </c>
      <c r="F152" t="s">
        <v>27</v>
      </c>
      <c r="G152" t="s">
        <v>17</v>
      </c>
      <c r="H152" t="s">
        <v>28</v>
      </c>
      <c r="I152" t="s">
        <v>29</v>
      </c>
      <c r="J152" t="s">
        <v>30</v>
      </c>
      <c r="K152" t="s">
        <v>21</v>
      </c>
    </row>
    <row r="153" spans="1:11" ht="15.75" customHeight="1" x14ac:dyDescent="0.15">
      <c r="A153" t="s">
        <v>766</v>
      </c>
      <c r="B153" t="s">
        <v>767</v>
      </c>
      <c r="C153" t="s">
        <v>768</v>
      </c>
      <c r="D153" t="s">
        <v>769</v>
      </c>
      <c r="E153" t="s">
        <v>770</v>
      </c>
      <c r="F153" t="s">
        <v>27</v>
      </c>
      <c r="G153" t="s">
        <v>17</v>
      </c>
      <c r="H153" t="s">
        <v>28</v>
      </c>
      <c r="I153" t="s">
        <v>29</v>
      </c>
      <c r="J153" t="s">
        <v>30</v>
      </c>
      <c r="K153" t="s">
        <v>21</v>
      </c>
    </row>
    <row r="154" spans="1:11" ht="15.75" customHeight="1" x14ac:dyDescent="0.15">
      <c r="A154" t="s">
        <v>811</v>
      </c>
      <c r="B154" t="s">
        <v>812</v>
      </c>
      <c r="C154" t="s">
        <v>813</v>
      </c>
      <c r="D154" t="s">
        <v>814</v>
      </c>
      <c r="E154" t="s">
        <v>815</v>
      </c>
      <c r="F154" t="s">
        <v>27</v>
      </c>
      <c r="G154" t="s">
        <v>17</v>
      </c>
      <c r="H154" t="s">
        <v>28</v>
      </c>
      <c r="I154" t="s">
        <v>29</v>
      </c>
      <c r="J154" t="s">
        <v>30</v>
      </c>
      <c r="K154" t="s">
        <v>21</v>
      </c>
    </row>
    <row r="155" spans="1:11" ht="15.75" customHeight="1" x14ac:dyDescent="0.15">
      <c r="A155" t="s">
        <v>826</v>
      </c>
      <c r="B155" t="s">
        <v>827</v>
      </c>
      <c r="C155" t="s">
        <v>828</v>
      </c>
      <c r="D155" t="s">
        <v>829</v>
      </c>
      <c r="E155" t="s">
        <v>830</v>
      </c>
      <c r="F155" t="s">
        <v>27</v>
      </c>
      <c r="G155" t="s">
        <v>17</v>
      </c>
      <c r="H155" t="s">
        <v>28</v>
      </c>
      <c r="I155" t="s">
        <v>29</v>
      </c>
      <c r="J155" t="s">
        <v>30</v>
      </c>
      <c r="K155" t="s">
        <v>21</v>
      </c>
    </row>
    <row r="156" spans="1:11" ht="15.75" customHeight="1" x14ac:dyDescent="0.15">
      <c r="A156" t="s">
        <v>959</v>
      </c>
      <c r="B156" t="s">
        <v>960</v>
      </c>
      <c r="C156" t="s">
        <v>961</v>
      </c>
      <c r="D156" t="s">
        <v>962</v>
      </c>
      <c r="E156" t="s">
        <v>963</v>
      </c>
      <c r="F156" t="s">
        <v>27</v>
      </c>
      <c r="G156" t="s">
        <v>17</v>
      </c>
      <c r="H156" t="s">
        <v>28</v>
      </c>
      <c r="I156" t="s">
        <v>29</v>
      </c>
      <c r="J156" t="s">
        <v>30</v>
      </c>
      <c r="K156" t="s">
        <v>21</v>
      </c>
    </row>
    <row r="157" spans="1:11" ht="15.75" hidden="1" customHeight="1" x14ac:dyDescent="0.15">
      <c r="A157" t="s">
        <v>1593</v>
      </c>
      <c r="B157" t="s">
        <v>1594</v>
      </c>
      <c r="C157" t="s">
        <v>1595</v>
      </c>
      <c r="D157" t="s">
        <v>1596</v>
      </c>
      <c r="E157" t="s">
        <v>1597</v>
      </c>
      <c r="F157" t="s">
        <v>27</v>
      </c>
      <c r="G157" t="s">
        <v>17</v>
      </c>
      <c r="H157" t="s">
        <v>28</v>
      </c>
      <c r="I157" t="s">
        <v>50</v>
      </c>
      <c r="J157" t="s">
        <v>51</v>
      </c>
      <c r="K157" t="s">
        <v>52</v>
      </c>
    </row>
    <row r="158" spans="1:11" ht="15.75" hidden="1" customHeight="1" x14ac:dyDescent="0.15">
      <c r="A158" t="s">
        <v>1678</v>
      </c>
      <c r="B158" t="s">
        <v>1679</v>
      </c>
      <c r="C158" t="s">
        <v>1680</v>
      </c>
      <c r="D158" t="s">
        <v>1681</v>
      </c>
      <c r="E158" t="s">
        <v>1682</v>
      </c>
      <c r="F158" t="s">
        <v>27</v>
      </c>
      <c r="G158" t="s">
        <v>17</v>
      </c>
      <c r="H158" t="s">
        <v>28</v>
      </c>
      <c r="I158" t="s">
        <v>50</v>
      </c>
      <c r="J158" t="s">
        <v>51</v>
      </c>
      <c r="K158" t="s">
        <v>52</v>
      </c>
    </row>
    <row r="159" spans="1:11" ht="15.75" hidden="1" customHeight="1" x14ac:dyDescent="0.15">
      <c r="A159" t="s">
        <v>1693</v>
      </c>
      <c r="B159" t="s">
        <v>1694</v>
      </c>
      <c r="C159" t="s">
        <v>1695</v>
      </c>
      <c r="D159" t="s">
        <v>1696</v>
      </c>
      <c r="E159" t="s">
        <v>1697</v>
      </c>
      <c r="F159" t="s">
        <v>27</v>
      </c>
      <c r="G159" t="s">
        <v>17</v>
      </c>
      <c r="H159" t="s">
        <v>28</v>
      </c>
      <c r="I159" t="s">
        <v>50</v>
      </c>
      <c r="J159" t="s">
        <v>51</v>
      </c>
      <c r="K159" t="s">
        <v>52</v>
      </c>
    </row>
    <row r="160" spans="1:11" ht="15.75" hidden="1" customHeight="1" x14ac:dyDescent="0.15">
      <c r="A160" t="s">
        <v>1698</v>
      </c>
      <c r="B160" t="s">
        <v>1699</v>
      </c>
      <c r="C160" t="s">
        <v>1700</v>
      </c>
      <c r="D160" t="s">
        <v>1701</v>
      </c>
      <c r="E160" t="s">
        <v>1702</v>
      </c>
      <c r="F160" t="s">
        <v>27</v>
      </c>
      <c r="G160" t="s">
        <v>17</v>
      </c>
      <c r="H160" t="s">
        <v>28</v>
      </c>
      <c r="I160" t="s">
        <v>50</v>
      </c>
      <c r="J160" t="s">
        <v>51</v>
      </c>
      <c r="K160" t="s">
        <v>52</v>
      </c>
    </row>
    <row r="161" spans="1:11" ht="15.75" hidden="1" customHeight="1" x14ac:dyDescent="0.15">
      <c r="A161" t="s">
        <v>1766</v>
      </c>
      <c r="B161" t="s">
        <v>1767</v>
      </c>
      <c r="C161" t="s">
        <v>1768</v>
      </c>
      <c r="D161" t="s">
        <v>1769</v>
      </c>
      <c r="E161" t="s">
        <v>1770</v>
      </c>
      <c r="F161" t="s">
        <v>27</v>
      </c>
      <c r="G161" t="s">
        <v>17</v>
      </c>
      <c r="H161" t="s">
        <v>28</v>
      </c>
      <c r="I161" t="s">
        <v>50</v>
      </c>
      <c r="J161" t="s">
        <v>51</v>
      </c>
      <c r="K161" t="s">
        <v>52</v>
      </c>
    </row>
    <row r="162" spans="1:11" ht="15.75" hidden="1" customHeight="1" x14ac:dyDescent="0.15">
      <c r="A162" t="s">
        <v>1790</v>
      </c>
      <c r="B162" t="s">
        <v>1791</v>
      </c>
      <c r="C162" t="s">
        <v>1792</v>
      </c>
      <c r="D162" t="s">
        <v>1793</v>
      </c>
      <c r="E162" t="s">
        <v>1794</v>
      </c>
      <c r="F162" t="s">
        <v>27</v>
      </c>
      <c r="G162" t="s">
        <v>17</v>
      </c>
      <c r="H162" t="s">
        <v>28</v>
      </c>
      <c r="I162" t="s">
        <v>50</v>
      </c>
      <c r="J162" t="s">
        <v>51</v>
      </c>
      <c r="K162" t="s">
        <v>52</v>
      </c>
    </row>
    <row r="163" spans="1:11" ht="15.75" hidden="1" customHeight="1" x14ac:dyDescent="0.15">
      <c r="A163" t="s">
        <v>1795</v>
      </c>
      <c r="B163" t="s">
        <v>1796</v>
      </c>
      <c r="C163" t="s">
        <v>1797</v>
      </c>
      <c r="D163" t="s">
        <v>1798</v>
      </c>
      <c r="E163" t="s">
        <v>1799</v>
      </c>
      <c r="F163" t="s">
        <v>27</v>
      </c>
      <c r="G163" t="s">
        <v>17</v>
      </c>
      <c r="H163" t="s">
        <v>28</v>
      </c>
      <c r="I163" t="s">
        <v>50</v>
      </c>
      <c r="J163" t="s">
        <v>51</v>
      </c>
      <c r="K163" t="s">
        <v>52</v>
      </c>
    </row>
    <row r="164" spans="1:11" ht="15.75" hidden="1" customHeight="1" x14ac:dyDescent="0.15">
      <c r="A164" t="s">
        <v>1845</v>
      </c>
      <c r="B164" t="s">
        <v>1846</v>
      </c>
      <c r="C164" t="s">
        <v>1847</v>
      </c>
      <c r="D164" t="s">
        <v>1848</v>
      </c>
      <c r="E164" t="s">
        <v>1849</v>
      </c>
      <c r="F164" t="s">
        <v>27</v>
      </c>
      <c r="G164" t="s">
        <v>17</v>
      </c>
      <c r="H164" t="s">
        <v>28</v>
      </c>
      <c r="I164" t="s">
        <v>50</v>
      </c>
      <c r="J164" t="s">
        <v>51</v>
      </c>
      <c r="K164" t="s">
        <v>52</v>
      </c>
    </row>
    <row r="165" spans="1:11" ht="15.75" hidden="1" customHeight="1" x14ac:dyDescent="0.15">
      <c r="A165" t="s">
        <v>1850</v>
      </c>
      <c r="B165" t="s">
        <v>1851</v>
      </c>
      <c r="C165" t="s">
        <v>1852</v>
      </c>
      <c r="D165" t="s">
        <v>1853</v>
      </c>
      <c r="E165" t="s">
        <v>1854</v>
      </c>
      <c r="F165" t="s">
        <v>27</v>
      </c>
      <c r="G165" t="s">
        <v>17</v>
      </c>
      <c r="H165" t="s">
        <v>28</v>
      </c>
      <c r="I165" t="s">
        <v>50</v>
      </c>
      <c r="J165" t="s">
        <v>51</v>
      </c>
      <c r="K165" t="s">
        <v>52</v>
      </c>
    </row>
    <row r="166" spans="1:11" ht="15.75" hidden="1" customHeight="1" x14ac:dyDescent="0.15">
      <c r="A166" t="s">
        <v>1874</v>
      </c>
      <c r="B166" t="s">
        <v>1875</v>
      </c>
      <c r="C166" t="s">
        <v>1876</v>
      </c>
      <c r="D166" t="s">
        <v>1877</v>
      </c>
      <c r="E166" t="s">
        <v>1878</v>
      </c>
      <c r="F166" t="s">
        <v>27</v>
      </c>
      <c r="G166" t="s">
        <v>17</v>
      </c>
      <c r="H166" t="s">
        <v>28</v>
      </c>
      <c r="I166" t="s">
        <v>50</v>
      </c>
      <c r="J166" t="s">
        <v>51</v>
      </c>
      <c r="K166" t="s">
        <v>52</v>
      </c>
    </row>
    <row r="167" spans="1:11" ht="15.75" hidden="1" customHeight="1" x14ac:dyDescent="0.15">
      <c r="A167" t="s">
        <v>1909</v>
      </c>
      <c r="B167" t="s">
        <v>1910</v>
      </c>
      <c r="C167" t="s">
        <v>1911</v>
      </c>
      <c r="D167" t="s">
        <v>1912</v>
      </c>
      <c r="E167" t="s">
        <v>1913</v>
      </c>
      <c r="F167" t="s">
        <v>27</v>
      </c>
      <c r="G167" t="s">
        <v>17</v>
      </c>
      <c r="H167" t="s">
        <v>28</v>
      </c>
      <c r="I167" t="s">
        <v>50</v>
      </c>
      <c r="J167" t="s">
        <v>51</v>
      </c>
      <c r="K167" t="s">
        <v>52</v>
      </c>
    </row>
    <row r="168" spans="1:11" ht="15.75" hidden="1" customHeight="1" x14ac:dyDescent="0.15">
      <c r="A168" t="s">
        <v>1944</v>
      </c>
      <c r="B168" t="s">
        <v>1945</v>
      </c>
      <c r="C168" t="s">
        <v>1946</v>
      </c>
      <c r="D168" t="s">
        <v>1947</v>
      </c>
      <c r="E168" t="s">
        <v>1948</v>
      </c>
      <c r="F168" t="s">
        <v>27</v>
      </c>
      <c r="G168" t="s">
        <v>17</v>
      </c>
      <c r="H168" t="s">
        <v>28</v>
      </c>
      <c r="I168" t="s">
        <v>50</v>
      </c>
      <c r="J168" t="s">
        <v>51</v>
      </c>
      <c r="K168" t="s">
        <v>52</v>
      </c>
    </row>
    <row r="169" spans="1:11" ht="15.75" hidden="1" customHeight="1" x14ac:dyDescent="0.15">
      <c r="A169" t="s">
        <v>2038</v>
      </c>
      <c r="B169" t="s">
        <v>2039</v>
      </c>
      <c r="C169" t="s">
        <v>2040</v>
      </c>
      <c r="D169" t="s">
        <v>2041</v>
      </c>
      <c r="E169" t="s">
        <v>2042</v>
      </c>
      <c r="F169" t="s">
        <v>27</v>
      </c>
      <c r="G169" t="s">
        <v>17</v>
      </c>
      <c r="H169" t="s">
        <v>28</v>
      </c>
      <c r="I169" t="s">
        <v>50</v>
      </c>
      <c r="J169" t="s">
        <v>51</v>
      </c>
      <c r="K169" t="s">
        <v>52</v>
      </c>
    </row>
    <row r="170" spans="1:11" ht="15.75" hidden="1" customHeight="1" x14ac:dyDescent="0.15">
      <c r="A170" t="s">
        <v>2063</v>
      </c>
      <c r="B170" t="s">
        <v>2064</v>
      </c>
      <c r="C170" t="s">
        <v>2065</v>
      </c>
      <c r="D170" t="s">
        <v>2066</v>
      </c>
      <c r="E170" t="s">
        <v>2067</v>
      </c>
      <c r="F170" t="s">
        <v>27</v>
      </c>
      <c r="G170" t="s">
        <v>17</v>
      </c>
      <c r="H170" t="s">
        <v>28</v>
      </c>
      <c r="I170" t="s">
        <v>50</v>
      </c>
      <c r="J170" t="s">
        <v>51</v>
      </c>
      <c r="K170" t="s">
        <v>52</v>
      </c>
    </row>
    <row r="171" spans="1:11" ht="15.75" hidden="1" customHeight="1" x14ac:dyDescent="0.15">
      <c r="A171" t="s">
        <v>2117</v>
      </c>
      <c r="B171" t="s">
        <v>2118</v>
      </c>
      <c r="C171" t="s">
        <v>2119</v>
      </c>
      <c r="D171" t="s">
        <v>2120</v>
      </c>
      <c r="E171" t="s">
        <v>2121</v>
      </c>
      <c r="F171" t="s">
        <v>27</v>
      </c>
      <c r="G171" t="s">
        <v>17</v>
      </c>
      <c r="H171" t="s">
        <v>28</v>
      </c>
      <c r="I171" t="s">
        <v>50</v>
      </c>
      <c r="J171" t="s">
        <v>51</v>
      </c>
      <c r="K171" t="s">
        <v>52</v>
      </c>
    </row>
    <row r="172" spans="1:11" ht="15.75" hidden="1" customHeight="1" x14ac:dyDescent="0.15">
      <c r="A172" t="s">
        <v>1093</v>
      </c>
      <c r="B172" t="s">
        <v>1094</v>
      </c>
      <c r="C172" t="s">
        <v>1095</v>
      </c>
      <c r="D172" t="s">
        <v>1096</v>
      </c>
      <c r="E172" t="s">
        <v>1097</v>
      </c>
      <c r="F172" t="s">
        <v>27</v>
      </c>
      <c r="G172" t="s">
        <v>17</v>
      </c>
      <c r="H172" t="s">
        <v>28</v>
      </c>
      <c r="I172" t="s">
        <v>19</v>
      </c>
      <c r="J172" t="s">
        <v>20</v>
      </c>
      <c r="K172" t="s">
        <v>21</v>
      </c>
    </row>
    <row r="173" spans="1:11" ht="15.75" hidden="1" customHeight="1" x14ac:dyDescent="0.15">
      <c r="A173" t="s">
        <v>1121</v>
      </c>
      <c r="B173" t="s">
        <v>1122</v>
      </c>
      <c r="C173" t="s">
        <v>1123</v>
      </c>
      <c r="D173" t="s">
        <v>1124</v>
      </c>
      <c r="E173" t="s">
        <v>1125</v>
      </c>
      <c r="F173" t="s">
        <v>27</v>
      </c>
      <c r="G173" t="s">
        <v>17</v>
      </c>
      <c r="H173" t="s">
        <v>28</v>
      </c>
      <c r="I173" t="s">
        <v>19</v>
      </c>
      <c r="J173" t="s">
        <v>20</v>
      </c>
      <c r="K173" t="s">
        <v>21</v>
      </c>
    </row>
    <row r="174" spans="1:11" ht="15.75" hidden="1" customHeight="1" x14ac:dyDescent="0.15">
      <c r="A174" t="s">
        <v>1249</v>
      </c>
      <c r="B174" t="s">
        <v>1250</v>
      </c>
      <c r="C174" t="s">
        <v>1251</v>
      </c>
      <c r="D174" t="s">
        <v>1252</v>
      </c>
      <c r="E174" t="s">
        <v>1253</v>
      </c>
      <c r="F174" t="s">
        <v>27</v>
      </c>
      <c r="G174" t="s">
        <v>17</v>
      </c>
      <c r="H174" t="s">
        <v>28</v>
      </c>
      <c r="I174" t="s">
        <v>19</v>
      </c>
      <c r="J174" t="s">
        <v>20</v>
      </c>
      <c r="K174" t="s">
        <v>21</v>
      </c>
    </row>
    <row r="175" spans="1:11" ht="15.75" hidden="1" customHeight="1" x14ac:dyDescent="0.15">
      <c r="A175" t="s">
        <v>1443</v>
      </c>
      <c r="B175" t="s">
        <v>1444</v>
      </c>
      <c r="C175" t="s">
        <v>1445</v>
      </c>
      <c r="D175" t="s">
        <v>1446</v>
      </c>
      <c r="E175" t="s">
        <v>1447</v>
      </c>
      <c r="F175" t="s">
        <v>27</v>
      </c>
      <c r="G175" t="s">
        <v>17</v>
      </c>
      <c r="H175" t="s">
        <v>28</v>
      </c>
      <c r="I175" t="s">
        <v>19</v>
      </c>
      <c r="J175" t="s">
        <v>20</v>
      </c>
      <c r="K175" t="s">
        <v>21</v>
      </c>
    </row>
    <row r="176" spans="1:11" ht="15.75" hidden="1" customHeight="1" x14ac:dyDescent="0.15">
      <c r="A176" t="s">
        <v>1688</v>
      </c>
      <c r="B176" t="s">
        <v>1689</v>
      </c>
      <c r="C176" t="s">
        <v>1690</v>
      </c>
      <c r="D176" t="s">
        <v>1691</v>
      </c>
      <c r="E176" t="s">
        <v>1692</v>
      </c>
      <c r="F176" t="s">
        <v>27</v>
      </c>
      <c r="G176" t="s">
        <v>17</v>
      </c>
      <c r="H176" t="s">
        <v>28</v>
      </c>
      <c r="I176" t="s">
        <v>19</v>
      </c>
      <c r="J176" t="s">
        <v>20</v>
      </c>
      <c r="K176" t="s">
        <v>21</v>
      </c>
    </row>
    <row r="177" spans="1:11" ht="15.75" hidden="1" customHeight="1" x14ac:dyDescent="0.15">
      <c r="A177" t="s">
        <v>1703</v>
      </c>
      <c r="B177" t="s">
        <v>1704</v>
      </c>
      <c r="C177" t="s">
        <v>1705</v>
      </c>
      <c r="D177" t="s">
        <v>1706</v>
      </c>
      <c r="E177" t="s">
        <v>1707</v>
      </c>
      <c r="F177" t="s">
        <v>27</v>
      </c>
      <c r="G177" t="s">
        <v>17</v>
      </c>
      <c r="H177" t="s">
        <v>28</v>
      </c>
      <c r="I177" t="s">
        <v>19</v>
      </c>
      <c r="J177" t="s">
        <v>20</v>
      </c>
      <c r="K177" t="s">
        <v>21</v>
      </c>
    </row>
    <row r="178" spans="1:11" ht="15.75" hidden="1" customHeight="1" x14ac:dyDescent="0.15">
      <c r="A178" t="s">
        <v>1718</v>
      </c>
      <c r="B178" t="s">
        <v>1719</v>
      </c>
      <c r="C178" t="s">
        <v>1720</v>
      </c>
      <c r="D178" t="s">
        <v>1721</v>
      </c>
      <c r="E178" t="s">
        <v>1722</v>
      </c>
      <c r="F178" t="s">
        <v>27</v>
      </c>
      <c r="G178" t="s">
        <v>17</v>
      </c>
      <c r="H178" t="s">
        <v>28</v>
      </c>
      <c r="I178" t="s">
        <v>19</v>
      </c>
      <c r="J178" t="s">
        <v>20</v>
      </c>
      <c r="K178" t="s">
        <v>21</v>
      </c>
    </row>
    <row r="179" spans="1:11" ht="15.75" hidden="1" customHeight="1" x14ac:dyDescent="0.15">
      <c r="A179" t="s">
        <v>1728</v>
      </c>
      <c r="B179" t="s">
        <v>1729</v>
      </c>
      <c r="C179" t="s">
        <v>1730</v>
      </c>
      <c r="D179" t="s">
        <v>1731</v>
      </c>
      <c r="E179" t="s">
        <v>1732</v>
      </c>
      <c r="F179" t="s">
        <v>27</v>
      </c>
      <c r="G179" t="s">
        <v>17</v>
      </c>
      <c r="H179" t="s">
        <v>28</v>
      </c>
      <c r="I179" t="s">
        <v>19</v>
      </c>
      <c r="J179" t="s">
        <v>20</v>
      </c>
      <c r="K179" t="s">
        <v>21</v>
      </c>
    </row>
    <row r="180" spans="1:11" ht="15.75" hidden="1" customHeight="1" x14ac:dyDescent="0.15">
      <c r="A180" t="s">
        <v>1751</v>
      </c>
      <c r="B180" t="s">
        <v>1752</v>
      </c>
      <c r="C180" t="s">
        <v>1753</v>
      </c>
      <c r="D180" t="s">
        <v>1754</v>
      </c>
      <c r="E180" t="s">
        <v>1755</v>
      </c>
      <c r="F180" t="s">
        <v>27</v>
      </c>
      <c r="G180" t="s">
        <v>17</v>
      </c>
      <c r="H180" t="s">
        <v>28</v>
      </c>
      <c r="I180" t="s">
        <v>19</v>
      </c>
      <c r="J180" t="s">
        <v>20</v>
      </c>
      <c r="K180" t="s">
        <v>21</v>
      </c>
    </row>
    <row r="181" spans="1:11" ht="15.75" hidden="1" customHeight="1" x14ac:dyDescent="0.15">
      <c r="A181" t="s">
        <v>1761</v>
      </c>
      <c r="B181" t="s">
        <v>1762</v>
      </c>
      <c r="C181" t="s">
        <v>1763</v>
      </c>
      <c r="D181" t="s">
        <v>1764</v>
      </c>
      <c r="E181" t="s">
        <v>1765</v>
      </c>
      <c r="F181" t="s">
        <v>27</v>
      </c>
      <c r="G181" t="s">
        <v>17</v>
      </c>
      <c r="H181" t="s">
        <v>28</v>
      </c>
      <c r="I181" t="s">
        <v>19</v>
      </c>
      <c r="J181" t="s">
        <v>20</v>
      </c>
      <c r="K181" t="s">
        <v>21</v>
      </c>
    </row>
    <row r="182" spans="1:11" ht="15.75" hidden="1" customHeight="1" x14ac:dyDescent="0.15">
      <c r="A182" t="s">
        <v>1776</v>
      </c>
      <c r="B182" t="s">
        <v>1777</v>
      </c>
      <c r="C182" t="s">
        <v>1778</v>
      </c>
      <c r="D182" t="s">
        <v>1779</v>
      </c>
      <c r="E182" t="s">
        <v>1780</v>
      </c>
      <c r="F182" t="s">
        <v>27</v>
      </c>
      <c r="G182" t="s">
        <v>17</v>
      </c>
      <c r="H182" t="s">
        <v>28</v>
      </c>
      <c r="I182" t="s">
        <v>19</v>
      </c>
      <c r="J182" t="s">
        <v>20</v>
      </c>
      <c r="K182" t="s">
        <v>21</v>
      </c>
    </row>
    <row r="183" spans="1:11" ht="15.75" hidden="1" customHeight="1" x14ac:dyDescent="0.15">
      <c r="A183" t="s">
        <v>1781</v>
      </c>
      <c r="B183" t="s">
        <v>1782</v>
      </c>
      <c r="C183" t="s">
        <v>1783</v>
      </c>
      <c r="D183" t="s">
        <v>1784</v>
      </c>
      <c r="E183" t="s">
        <v>35</v>
      </c>
      <c r="F183" t="s">
        <v>27</v>
      </c>
      <c r="G183" t="s">
        <v>17</v>
      </c>
      <c r="H183" t="s">
        <v>28</v>
      </c>
      <c r="I183" t="s">
        <v>19</v>
      </c>
      <c r="J183" t="s">
        <v>20</v>
      </c>
      <c r="K183" t="s">
        <v>21</v>
      </c>
    </row>
    <row r="184" spans="1:11" ht="15.75" hidden="1" customHeight="1" x14ac:dyDescent="0.15">
      <c r="A184" t="s">
        <v>1785</v>
      </c>
      <c r="B184" t="s">
        <v>1786</v>
      </c>
      <c r="C184" t="s">
        <v>1787</v>
      </c>
      <c r="D184" t="s">
        <v>1788</v>
      </c>
      <c r="E184" t="s">
        <v>1789</v>
      </c>
      <c r="F184" t="s">
        <v>27</v>
      </c>
      <c r="G184" t="s">
        <v>17</v>
      </c>
      <c r="H184" t="s">
        <v>28</v>
      </c>
      <c r="I184" t="s">
        <v>19</v>
      </c>
      <c r="J184" t="s">
        <v>20</v>
      </c>
      <c r="K184" t="s">
        <v>21</v>
      </c>
    </row>
    <row r="185" spans="1:11" ht="15.75" hidden="1" customHeight="1" x14ac:dyDescent="0.15">
      <c r="A185" t="s">
        <v>1800</v>
      </c>
      <c r="B185" t="s">
        <v>1801</v>
      </c>
      <c r="C185" t="s">
        <v>1802</v>
      </c>
      <c r="D185" t="s">
        <v>1803</v>
      </c>
      <c r="E185" t="s">
        <v>1804</v>
      </c>
      <c r="F185" t="s">
        <v>27</v>
      </c>
      <c r="G185" t="s">
        <v>17</v>
      </c>
      <c r="H185" t="s">
        <v>28</v>
      </c>
      <c r="I185" t="s">
        <v>19</v>
      </c>
      <c r="J185" t="s">
        <v>20</v>
      </c>
      <c r="K185" t="s">
        <v>21</v>
      </c>
    </row>
    <row r="186" spans="1:11" ht="15.75" hidden="1" customHeight="1" x14ac:dyDescent="0.15">
      <c r="A186" t="s">
        <v>1805</v>
      </c>
      <c r="B186" t="s">
        <v>1806</v>
      </c>
      <c r="C186" t="s">
        <v>1807</v>
      </c>
      <c r="D186" t="s">
        <v>1808</v>
      </c>
      <c r="E186" t="s">
        <v>1809</v>
      </c>
      <c r="F186" t="s">
        <v>27</v>
      </c>
      <c r="G186" t="s">
        <v>17</v>
      </c>
      <c r="H186" t="s">
        <v>28</v>
      </c>
      <c r="I186" t="s">
        <v>19</v>
      </c>
      <c r="J186" t="s">
        <v>20</v>
      </c>
      <c r="K186" t="s">
        <v>21</v>
      </c>
    </row>
    <row r="187" spans="1:11" ht="15.75" customHeight="1" x14ac:dyDescent="0.15">
      <c r="A187" t="s">
        <v>964</v>
      </c>
      <c r="B187" t="s">
        <v>965</v>
      </c>
      <c r="C187" t="s">
        <v>966</v>
      </c>
      <c r="D187" t="s">
        <v>967</v>
      </c>
      <c r="E187" t="s">
        <v>968</v>
      </c>
      <c r="F187" t="s">
        <v>27</v>
      </c>
      <c r="G187" t="s">
        <v>17</v>
      </c>
      <c r="H187" t="s">
        <v>28</v>
      </c>
      <c r="I187" t="s">
        <v>29</v>
      </c>
      <c r="J187" t="s">
        <v>30</v>
      </c>
      <c r="K187" t="s">
        <v>21</v>
      </c>
    </row>
    <row r="188" spans="1:11" ht="15.75" hidden="1" customHeight="1" x14ac:dyDescent="0.15">
      <c r="A188" t="s">
        <v>2142</v>
      </c>
      <c r="B188" t="s">
        <v>2143</v>
      </c>
      <c r="C188" t="s">
        <v>2144</v>
      </c>
      <c r="D188" t="s">
        <v>2145</v>
      </c>
      <c r="E188" t="s">
        <v>2146</v>
      </c>
      <c r="F188" t="s">
        <v>27</v>
      </c>
      <c r="G188" t="s">
        <v>17</v>
      </c>
      <c r="H188" t="s">
        <v>28</v>
      </c>
      <c r="I188" t="s">
        <v>50</v>
      </c>
      <c r="J188" t="s">
        <v>51</v>
      </c>
      <c r="K188" t="s">
        <v>52</v>
      </c>
    </row>
    <row r="189" spans="1:11" ht="15.75" hidden="1" customHeight="1" x14ac:dyDescent="0.15">
      <c r="A189" t="s">
        <v>2152</v>
      </c>
      <c r="B189" t="s">
        <v>2153</v>
      </c>
      <c r="C189" t="s">
        <v>2154</v>
      </c>
      <c r="D189" t="s">
        <v>2155</v>
      </c>
      <c r="E189" t="s">
        <v>2156</v>
      </c>
      <c r="F189" t="s">
        <v>27</v>
      </c>
      <c r="G189" t="s">
        <v>17</v>
      </c>
      <c r="H189" t="s">
        <v>28</v>
      </c>
      <c r="I189" t="s">
        <v>50</v>
      </c>
      <c r="J189" t="s">
        <v>51</v>
      </c>
      <c r="K189" t="s">
        <v>52</v>
      </c>
    </row>
    <row r="190" spans="1:11" ht="15.75" hidden="1" customHeight="1" x14ac:dyDescent="0.15">
      <c r="A190" t="s">
        <v>2192</v>
      </c>
      <c r="B190" t="s">
        <v>2193</v>
      </c>
      <c r="C190" t="s">
        <v>2194</v>
      </c>
      <c r="D190" t="s">
        <v>2195</v>
      </c>
      <c r="E190" t="s">
        <v>2196</v>
      </c>
      <c r="F190" t="s">
        <v>27</v>
      </c>
      <c r="G190" t="s">
        <v>17</v>
      </c>
      <c r="H190" t="s">
        <v>28</v>
      </c>
      <c r="I190" t="s">
        <v>50</v>
      </c>
      <c r="J190" t="s">
        <v>51</v>
      </c>
      <c r="K190" t="s">
        <v>52</v>
      </c>
    </row>
    <row r="191" spans="1:11" ht="15.75" hidden="1" customHeight="1" x14ac:dyDescent="0.15">
      <c r="A191" t="s">
        <v>2197</v>
      </c>
      <c r="B191" t="s">
        <v>2198</v>
      </c>
      <c r="C191" t="s">
        <v>2199</v>
      </c>
      <c r="D191" t="s">
        <v>2200</v>
      </c>
      <c r="E191" t="s">
        <v>2201</v>
      </c>
      <c r="F191" t="s">
        <v>27</v>
      </c>
      <c r="G191" t="s">
        <v>17</v>
      </c>
      <c r="H191" t="s">
        <v>28</v>
      </c>
      <c r="I191" t="s">
        <v>50</v>
      </c>
      <c r="J191" t="s">
        <v>51</v>
      </c>
      <c r="K191" t="s">
        <v>52</v>
      </c>
    </row>
    <row r="192" spans="1:11" ht="15.75" hidden="1" customHeight="1" x14ac:dyDescent="0.15">
      <c r="A192" t="s">
        <v>2267</v>
      </c>
      <c r="B192" t="s">
        <v>2268</v>
      </c>
      <c r="C192" t="s">
        <v>2269</v>
      </c>
      <c r="D192" t="s">
        <v>2270</v>
      </c>
      <c r="E192" t="s">
        <v>606</v>
      </c>
      <c r="F192" t="s">
        <v>27</v>
      </c>
      <c r="G192" t="s">
        <v>17</v>
      </c>
      <c r="H192" t="s">
        <v>28</v>
      </c>
      <c r="I192" t="s">
        <v>50</v>
      </c>
      <c r="J192" t="s">
        <v>51</v>
      </c>
      <c r="K192" t="s">
        <v>52</v>
      </c>
    </row>
    <row r="193" spans="1:11" ht="15.75" hidden="1" customHeight="1" x14ac:dyDescent="0.15">
      <c r="A193" t="s">
        <v>2276</v>
      </c>
      <c r="B193" t="s">
        <v>2277</v>
      </c>
      <c r="C193" t="s">
        <v>2278</v>
      </c>
      <c r="D193" t="s">
        <v>2279</v>
      </c>
      <c r="E193" t="s">
        <v>2280</v>
      </c>
      <c r="F193" t="s">
        <v>27</v>
      </c>
      <c r="G193" t="s">
        <v>17</v>
      </c>
      <c r="H193" t="s">
        <v>28</v>
      </c>
      <c r="I193" t="s">
        <v>50</v>
      </c>
      <c r="J193" t="s">
        <v>51</v>
      </c>
      <c r="K193" t="s">
        <v>52</v>
      </c>
    </row>
    <row r="194" spans="1:11" ht="15.75" hidden="1" customHeight="1" x14ac:dyDescent="0.15">
      <c r="A194" t="s">
        <v>2325</v>
      </c>
      <c r="B194" t="s">
        <v>2326</v>
      </c>
      <c r="C194" t="s">
        <v>2327</v>
      </c>
      <c r="D194" t="s">
        <v>2328</v>
      </c>
      <c r="E194" t="s">
        <v>2329</v>
      </c>
      <c r="F194" t="s">
        <v>27</v>
      </c>
      <c r="G194" t="s">
        <v>17</v>
      </c>
      <c r="H194" t="s">
        <v>28</v>
      </c>
      <c r="I194" t="s">
        <v>50</v>
      </c>
      <c r="J194" t="s">
        <v>51</v>
      </c>
      <c r="K194" t="s">
        <v>52</v>
      </c>
    </row>
    <row r="195" spans="1:11" ht="15.75" hidden="1" customHeight="1" x14ac:dyDescent="0.15">
      <c r="A195" t="s">
        <v>2364</v>
      </c>
      <c r="B195" t="s">
        <v>2365</v>
      </c>
      <c r="C195" t="s">
        <v>2366</v>
      </c>
      <c r="D195" t="s">
        <v>2367</v>
      </c>
      <c r="E195" t="s">
        <v>2368</v>
      </c>
      <c r="F195" t="s">
        <v>27</v>
      </c>
      <c r="G195" t="s">
        <v>17</v>
      </c>
      <c r="H195" t="s">
        <v>28</v>
      </c>
      <c r="I195" t="s">
        <v>50</v>
      </c>
      <c r="J195" t="s">
        <v>51</v>
      </c>
      <c r="K195" t="s">
        <v>52</v>
      </c>
    </row>
    <row r="196" spans="1:11" ht="15.75" hidden="1" customHeight="1" x14ac:dyDescent="0.15">
      <c r="A196" t="s">
        <v>2432</v>
      </c>
      <c r="B196" t="s">
        <v>2433</v>
      </c>
      <c r="C196" t="s">
        <v>2434</v>
      </c>
      <c r="D196" t="s">
        <v>2435</v>
      </c>
      <c r="E196" t="s">
        <v>2436</v>
      </c>
      <c r="F196" t="s">
        <v>27</v>
      </c>
      <c r="G196" t="s">
        <v>17</v>
      </c>
      <c r="H196" t="s">
        <v>28</v>
      </c>
      <c r="I196" t="s">
        <v>50</v>
      </c>
      <c r="J196" t="s">
        <v>51</v>
      </c>
      <c r="K196" t="s">
        <v>52</v>
      </c>
    </row>
    <row r="197" spans="1:11" ht="15.75" hidden="1" customHeight="1" x14ac:dyDescent="0.15">
      <c r="A197" t="s">
        <v>2442</v>
      </c>
      <c r="B197" t="s">
        <v>2443</v>
      </c>
      <c r="C197" t="s">
        <v>2444</v>
      </c>
      <c r="D197" t="s">
        <v>2445</v>
      </c>
      <c r="E197" t="s">
        <v>1824</v>
      </c>
      <c r="F197" t="s">
        <v>27</v>
      </c>
      <c r="G197" t="s">
        <v>17</v>
      </c>
      <c r="H197" t="s">
        <v>28</v>
      </c>
      <c r="I197" t="s">
        <v>50</v>
      </c>
      <c r="J197" t="s">
        <v>51</v>
      </c>
      <c r="K197" t="s">
        <v>52</v>
      </c>
    </row>
    <row r="198" spans="1:11" ht="15.75" hidden="1" customHeight="1" x14ac:dyDescent="0.15">
      <c r="A198" t="s">
        <v>2446</v>
      </c>
      <c r="B198" t="s">
        <v>2447</v>
      </c>
      <c r="C198" t="s">
        <v>2448</v>
      </c>
      <c r="D198" t="s">
        <v>2449</v>
      </c>
      <c r="E198" t="s">
        <v>2450</v>
      </c>
      <c r="F198" t="s">
        <v>27</v>
      </c>
      <c r="G198" t="s">
        <v>17</v>
      </c>
      <c r="H198" t="s">
        <v>28</v>
      </c>
      <c r="I198" t="s">
        <v>50</v>
      </c>
      <c r="J198" t="s">
        <v>51</v>
      </c>
      <c r="K198" t="s">
        <v>52</v>
      </c>
    </row>
    <row r="199" spans="1:11" ht="15.75" hidden="1" customHeight="1" x14ac:dyDescent="0.15">
      <c r="A199" t="s">
        <v>2461</v>
      </c>
      <c r="B199" t="s">
        <v>2462</v>
      </c>
      <c r="C199" t="s">
        <v>2463</v>
      </c>
      <c r="D199" t="s">
        <v>2464</v>
      </c>
      <c r="E199" t="s">
        <v>2465</v>
      </c>
      <c r="F199" t="s">
        <v>27</v>
      </c>
      <c r="G199" t="s">
        <v>17</v>
      </c>
      <c r="H199" t="s">
        <v>28</v>
      </c>
      <c r="I199" t="s">
        <v>50</v>
      </c>
      <c r="J199" t="s">
        <v>51</v>
      </c>
      <c r="K199" t="s">
        <v>52</v>
      </c>
    </row>
    <row r="200" spans="1:11" ht="15.75" customHeight="1" x14ac:dyDescent="0.15">
      <c r="A200" t="s">
        <v>1044</v>
      </c>
      <c r="B200" t="s">
        <v>1045</v>
      </c>
      <c r="C200" t="s">
        <v>1046</v>
      </c>
      <c r="D200" t="s">
        <v>1047</v>
      </c>
      <c r="E200" t="s">
        <v>1048</v>
      </c>
      <c r="F200" t="s">
        <v>27</v>
      </c>
      <c r="G200" t="s">
        <v>17</v>
      </c>
      <c r="H200" t="s">
        <v>28</v>
      </c>
      <c r="I200" t="s">
        <v>29</v>
      </c>
      <c r="J200" t="s">
        <v>30</v>
      </c>
      <c r="K200" t="s">
        <v>21</v>
      </c>
    </row>
    <row r="201" spans="1:11" ht="15.75" hidden="1" customHeight="1" x14ac:dyDescent="0.15">
      <c r="A201" t="s">
        <v>2505</v>
      </c>
      <c r="B201" t="s">
        <v>2506</v>
      </c>
      <c r="C201" t="s">
        <v>2507</v>
      </c>
      <c r="D201" t="s">
        <v>2508</v>
      </c>
      <c r="E201" t="s">
        <v>2509</v>
      </c>
      <c r="F201" t="s">
        <v>27</v>
      </c>
      <c r="G201" t="s">
        <v>17</v>
      </c>
      <c r="H201" t="s">
        <v>28</v>
      </c>
      <c r="I201" t="s">
        <v>50</v>
      </c>
      <c r="J201" t="s">
        <v>51</v>
      </c>
      <c r="K201" t="s">
        <v>52</v>
      </c>
    </row>
    <row r="202" spans="1:11" ht="15.75" hidden="1" customHeight="1" x14ac:dyDescent="0.15">
      <c r="A202" t="s">
        <v>1830</v>
      </c>
      <c r="B202" t="s">
        <v>1831</v>
      </c>
      <c r="C202" t="s">
        <v>1832</v>
      </c>
      <c r="D202" t="s">
        <v>1833</v>
      </c>
      <c r="E202" t="s">
        <v>1834</v>
      </c>
      <c r="F202" t="s">
        <v>27</v>
      </c>
      <c r="G202" t="s">
        <v>17</v>
      </c>
      <c r="H202" t="s">
        <v>28</v>
      </c>
      <c r="I202" t="s">
        <v>19</v>
      </c>
      <c r="J202" t="s">
        <v>20</v>
      </c>
      <c r="K202" t="s">
        <v>21</v>
      </c>
    </row>
    <row r="203" spans="1:11" ht="15.75" customHeight="1" x14ac:dyDescent="0.15">
      <c r="A203" t="s">
        <v>1068</v>
      </c>
      <c r="B203" t="s">
        <v>1069</v>
      </c>
      <c r="C203" t="s">
        <v>1070</v>
      </c>
      <c r="D203" t="s">
        <v>1071</v>
      </c>
      <c r="E203" t="s">
        <v>1072</v>
      </c>
      <c r="F203" t="s">
        <v>27</v>
      </c>
      <c r="G203" t="s">
        <v>17</v>
      </c>
      <c r="H203" t="s">
        <v>28</v>
      </c>
      <c r="I203" t="s">
        <v>29</v>
      </c>
      <c r="J203" t="s">
        <v>30</v>
      </c>
      <c r="K203" t="s">
        <v>21</v>
      </c>
    </row>
    <row r="204" spans="1:11" ht="15.75" hidden="1" customHeight="1" x14ac:dyDescent="0.15">
      <c r="A204" t="s">
        <v>2549</v>
      </c>
      <c r="B204" t="s">
        <v>2550</v>
      </c>
      <c r="C204" t="s">
        <v>2551</v>
      </c>
      <c r="D204" t="s">
        <v>2552</v>
      </c>
      <c r="E204" t="s">
        <v>2553</v>
      </c>
      <c r="F204" t="s">
        <v>27</v>
      </c>
      <c r="G204" t="s">
        <v>17</v>
      </c>
      <c r="H204" t="s">
        <v>28</v>
      </c>
      <c r="I204" t="s">
        <v>50</v>
      </c>
      <c r="J204" t="s">
        <v>51</v>
      </c>
      <c r="K204" t="s">
        <v>52</v>
      </c>
    </row>
    <row r="205" spans="1:11" ht="15.75" hidden="1" customHeight="1" x14ac:dyDescent="0.15">
      <c r="A205" t="s">
        <v>2564</v>
      </c>
      <c r="B205" t="s">
        <v>2565</v>
      </c>
      <c r="C205" t="s">
        <v>2566</v>
      </c>
      <c r="D205" t="s">
        <v>2567</v>
      </c>
      <c r="E205" t="s">
        <v>2568</v>
      </c>
      <c r="F205" t="s">
        <v>27</v>
      </c>
      <c r="G205" t="s">
        <v>17</v>
      </c>
      <c r="H205" t="s">
        <v>28</v>
      </c>
      <c r="I205" t="s">
        <v>50</v>
      </c>
      <c r="J205" t="s">
        <v>51</v>
      </c>
      <c r="K205" t="s">
        <v>52</v>
      </c>
    </row>
    <row r="206" spans="1:11" ht="15.75" hidden="1" customHeight="1" x14ac:dyDescent="0.15">
      <c r="A206" t="s">
        <v>1855</v>
      </c>
      <c r="B206" t="s">
        <v>1856</v>
      </c>
      <c r="C206" t="s">
        <v>1857</v>
      </c>
      <c r="D206" t="s">
        <v>1858</v>
      </c>
      <c r="E206" t="s">
        <v>1859</v>
      </c>
      <c r="F206" t="s">
        <v>27</v>
      </c>
      <c r="G206" t="s">
        <v>17</v>
      </c>
      <c r="H206" t="s">
        <v>28</v>
      </c>
      <c r="I206" t="s">
        <v>19</v>
      </c>
      <c r="J206" t="s">
        <v>20</v>
      </c>
      <c r="K206" t="s">
        <v>21</v>
      </c>
    </row>
    <row r="207" spans="1:11" ht="15.75" customHeight="1" x14ac:dyDescent="0.15">
      <c r="A207" t="s">
        <v>1146</v>
      </c>
      <c r="B207" t="s">
        <v>1147</v>
      </c>
      <c r="C207" t="s">
        <v>1148</v>
      </c>
      <c r="D207" t="s">
        <v>1149</v>
      </c>
      <c r="E207" t="s">
        <v>1150</v>
      </c>
      <c r="F207" t="s">
        <v>27</v>
      </c>
      <c r="G207" t="s">
        <v>17</v>
      </c>
      <c r="H207" t="s">
        <v>28</v>
      </c>
      <c r="I207" t="s">
        <v>29</v>
      </c>
      <c r="J207" t="s">
        <v>30</v>
      </c>
      <c r="K207" t="s">
        <v>21</v>
      </c>
    </row>
    <row r="208" spans="1:11" ht="15.75" customHeight="1" x14ac:dyDescent="0.15">
      <c r="A208" t="s">
        <v>1166</v>
      </c>
      <c r="B208" t="s">
        <v>1167</v>
      </c>
      <c r="C208" t="s">
        <v>1168</v>
      </c>
      <c r="D208" t="s">
        <v>1169</v>
      </c>
      <c r="E208" t="s">
        <v>1170</v>
      </c>
      <c r="F208" t="s">
        <v>27</v>
      </c>
      <c r="G208" t="s">
        <v>17</v>
      </c>
      <c r="H208" t="s">
        <v>28</v>
      </c>
      <c r="I208" t="s">
        <v>29</v>
      </c>
      <c r="J208" t="s">
        <v>30</v>
      </c>
      <c r="K208" t="s">
        <v>21</v>
      </c>
    </row>
    <row r="209" spans="1:12" ht="15.75" hidden="1" customHeight="1" x14ac:dyDescent="0.15">
      <c r="A209" t="s">
        <v>2579</v>
      </c>
      <c r="B209" t="s">
        <v>2580</v>
      </c>
      <c r="C209" t="s">
        <v>2581</v>
      </c>
      <c r="D209" t="s">
        <v>2582</v>
      </c>
      <c r="E209" t="s">
        <v>2583</v>
      </c>
      <c r="F209" t="s">
        <v>27</v>
      </c>
      <c r="G209" t="s">
        <v>17</v>
      </c>
      <c r="H209" t="s">
        <v>28</v>
      </c>
      <c r="I209" t="s">
        <v>50</v>
      </c>
      <c r="J209" t="s">
        <v>51</v>
      </c>
      <c r="K209" t="s">
        <v>52</v>
      </c>
    </row>
    <row r="210" spans="1:12" ht="15.75" hidden="1" customHeight="1" x14ac:dyDescent="0.15">
      <c r="A210" t="s">
        <v>2603</v>
      </c>
      <c r="B210" t="s">
        <v>2604</v>
      </c>
      <c r="C210" t="s">
        <v>2605</v>
      </c>
      <c r="D210" t="s">
        <v>2606</v>
      </c>
      <c r="E210" t="s">
        <v>2607</v>
      </c>
      <c r="F210" t="s">
        <v>27</v>
      </c>
      <c r="G210" t="s">
        <v>17</v>
      </c>
      <c r="H210" t="s">
        <v>28</v>
      </c>
      <c r="I210" t="s">
        <v>50</v>
      </c>
      <c r="J210" t="s">
        <v>51</v>
      </c>
      <c r="K210" t="s">
        <v>52</v>
      </c>
    </row>
    <row r="211" spans="1:12" ht="15.75" hidden="1" customHeight="1" x14ac:dyDescent="0.15">
      <c r="A211" t="s">
        <v>2633</v>
      </c>
      <c r="B211" t="s">
        <v>2634</v>
      </c>
      <c r="C211" t="s">
        <v>2635</v>
      </c>
      <c r="D211" t="s">
        <v>2636</v>
      </c>
      <c r="E211" t="s">
        <v>2637</v>
      </c>
      <c r="F211" t="s">
        <v>27</v>
      </c>
      <c r="G211" t="s">
        <v>17</v>
      </c>
      <c r="H211" t="s">
        <v>28</v>
      </c>
      <c r="I211" t="s">
        <v>50</v>
      </c>
      <c r="J211" t="s">
        <v>51</v>
      </c>
      <c r="K211" t="s">
        <v>52</v>
      </c>
    </row>
    <row r="212" spans="1:12" ht="15.75" hidden="1" customHeight="1" x14ac:dyDescent="0.15">
      <c r="A212" t="s">
        <v>2662</v>
      </c>
      <c r="B212" t="s">
        <v>2663</v>
      </c>
      <c r="C212" t="s">
        <v>2664</v>
      </c>
      <c r="D212" t="s">
        <v>2665</v>
      </c>
      <c r="E212" t="s">
        <v>2666</v>
      </c>
      <c r="F212" t="s">
        <v>27</v>
      </c>
      <c r="G212" t="s">
        <v>17</v>
      </c>
      <c r="H212" t="s">
        <v>28</v>
      </c>
      <c r="I212" t="s">
        <v>50</v>
      </c>
      <c r="J212" t="s">
        <v>51</v>
      </c>
      <c r="K212" t="s">
        <v>52</v>
      </c>
    </row>
    <row r="213" spans="1:12" ht="15.75" customHeight="1" x14ac:dyDescent="0.15">
      <c r="A213" t="s">
        <v>1186</v>
      </c>
      <c r="B213" t="s">
        <v>1187</v>
      </c>
      <c r="C213" t="s">
        <v>1188</v>
      </c>
      <c r="D213" t="s">
        <v>1189</v>
      </c>
      <c r="E213" t="s">
        <v>1190</v>
      </c>
      <c r="F213" t="s">
        <v>27</v>
      </c>
      <c r="G213" t="s">
        <v>17</v>
      </c>
      <c r="H213" t="s">
        <v>28</v>
      </c>
      <c r="I213" t="s">
        <v>29</v>
      </c>
      <c r="J213" t="s">
        <v>30</v>
      </c>
      <c r="K213" t="s">
        <v>21</v>
      </c>
    </row>
    <row r="214" spans="1:12" ht="15.75" hidden="1" customHeight="1" x14ac:dyDescent="0.15">
      <c r="A214" s="1" t="s">
        <v>45</v>
      </c>
      <c r="B214" s="1" t="s">
        <v>46</v>
      </c>
      <c r="C214" s="1" t="s">
        <v>47</v>
      </c>
      <c r="D214" s="1" t="s">
        <v>48</v>
      </c>
      <c r="E214" s="1" t="s">
        <v>49</v>
      </c>
      <c r="F214" s="1" t="s">
        <v>16</v>
      </c>
      <c r="G214" s="9" t="s">
        <v>17</v>
      </c>
      <c r="H214" s="1" t="s">
        <v>18</v>
      </c>
      <c r="I214" s="1" t="s">
        <v>50</v>
      </c>
      <c r="J214" s="1" t="s">
        <v>51</v>
      </c>
      <c r="K214" s="1" t="s">
        <v>52</v>
      </c>
      <c r="L214" s="3">
        <v>1</v>
      </c>
    </row>
    <row r="215" spans="1:12" ht="15.75" hidden="1" customHeight="1" x14ac:dyDescent="0.15">
      <c r="A215" s="1" t="s">
        <v>130</v>
      </c>
      <c r="B215" s="1" t="s">
        <v>131</v>
      </c>
      <c r="C215" s="1" t="s">
        <v>132</v>
      </c>
      <c r="D215" s="1" t="s">
        <v>133</v>
      </c>
      <c r="E215" s="1" t="s">
        <v>134</v>
      </c>
      <c r="F215" s="1" t="s">
        <v>16</v>
      </c>
      <c r="G215" s="9" t="s">
        <v>17</v>
      </c>
      <c r="H215" s="1" t="s">
        <v>18</v>
      </c>
      <c r="I215" s="1" t="s">
        <v>50</v>
      </c>
      <c r="J215" s="1" t="s">
        <v>51</v>
      </c>
      <c r="K215" s="1" t="s">
        <v>52</v>
      </c>
      <c r="L215" s="3">
        <v>2</v>
      </c>
    </row>
    <row r="216" spans="1:12" ht="15.75" customHeight="1" x14ac:dyDescent="0.15">
      <c r="A216" t="s">
        <v>1254</v>
      </c>
      <c r="B216" t="s">
        <v>1255</v>
      </c>
      <c r="C216" t="s">
        <v>1256</v>
      </c>
      <c r="D216" t="s">
        <v>1257</v>
      </c>
      <c r="E216" t="s">
        <v>1258</v>
      </c>
      <c r="F216" t="s">
        <v>27</v>
      </c>
      <c r="G216" t="s">
        <v>17</v>
      </c>
      <c r="H216" t="s">
        <v>28</v>
      </c>
      <c r="I216" t="s">
        <v>29</v>
      </c>
      <c r="J216" t="s">
        <v>30</v>
      </c>
      <c r="K216" t="s">
        <v>21</v>
      </c>
    </row>
    <row r="217" spans="1:12" ht="15.75" customHeight="1" x14ac:dyDescent="0.15">
      <c r="A217" t="s">
        <v>1314</v>
      </c>
      <c r="B217" t="s">
        <v>1315</v>
      </c>
      <c r="C217" t="s">
        <v>1316</v>
      </c>
      <c r="D217" t="s">
        <v>1317</v>
      </c>
      <c r="E217" t="s">
        <v>1318</v>
      </c>
      <c r="F217" t="s">
        <v>27</v>
      </c>
      <c r="G217" t="s">
        <v>17</v>
      </c>
      <c r="H217" t="s">
        <v>28</v>
      </c>
      <c r="I217" t="s">
        <v>29</v>
      </c>
      <c r="J217" t="s">
        <v>30</v>
      </c>
      <c r="K217" t="s">
        <v>21</v>
      </c>
    </row>
    <row r="218" spans="1:12" ht="15.75" hidden="1" customHeight="1" x14ac:dyDescent="0.15">
      <c r="A218" t="s">
        <v>300</v>
      </c>
      <c r="B218" t="s">
        <v>301</v>
      </c>
      <c r="C218" t="s">
        <v>302</v>
      </c>
      <c r="D218" t="s">
        <v>303</v>
      </c>
      <c r="E218" t="s">
        <v>304</v>
      </c>
      <c r="F218" t="s">
        <v>16</v>
      </c>
      <c r="G218" s="5" t="s">
        <v>17</v>
      </c>
      <c r="H218" t="s">
        <v>18</v>
      </c>
      <c r="I218" t="s">
        <v>50</v>
      </c>
      <c r="J218" t="s">
        <v>51</v>
      </c>
      <c r="K218" t="s">
        <v>52</v>
      </c>
      <c r="L218" s="3">
        <v>3</v>
      </c>
    </row>
    <row r="219" spans="1:12" ht="15.75" hidden="1" customHeight="1" x14ac:dyDescent="0.15">
      <c r="A219" t="s">
        <v>732</v>
      </c>
      <c r="B219" t="s">
        <v>733</v>
      </c>
      <c r="C219" t="s">
        <v>734</v>
      </c>
      <c r="D219" t="s">
        <v>735</v>
      </c>
      <c r="E219" t="s">
        <v>736</v>
      </c>
      <c r="F219" t="s">
        <v>16</v>
      </c>
      <c r="G219" s="5" t="s">
        <v>17</v>
      </c>
      <c r="H219" t="s">
        <v>18</v>
      </c>
      <c r="I219" t="s">
        <v>50</v>
      </c>
      <c r="J219" t="s">
        <v>51</v>
      </c>
      <c r="K219" s="3" t="s">
        <v>52</v>
      </c>
      <c r="L219" s="3">
        <v>4</v>
      </c>
    </row>
    <row r="220" spans="1:12" ht="15.75" hidden="1" customHeight="1" x14ac:dyDescent="0.15">
      <c r="A220" t="s">
        <v>1299</v>
      </c>
      <c r="B220" t="s">
        <v>1300</v>
      </c>
      <c r="C220" t="s">
        <v>1301</v>
      </c>
      <c r="D220" t="s">
        <v>1302</v>
      </c>
      <c r="E220" t="s">
        <v>1303</v>
      </c>
      <c r="F220" t="s">
        <v>16</v>
      </c>
      <c r="G220" s="5" t="s">
        <v>17</v>
      </c>
      <c r="H220" t="s">
        <v>18</v>
      </c>
      <c r="I220" t="s">
        <v>50</v>
      </c>
      <c r="J220" t="s">
        <v>51</v>
      </c>
      <c r="K220" t="s">
        <v>52</v>
      </c>
      <c r="L220" s="3">
        <v>5</v>
      </c>
    </row>
    <row r="221" spans="1:12" ht="15.75" customHeight="1" x14ac:dyDescent="0.15">
      <c r="A221" t="s">
        <v>1334</v>
      </c>
      <c r="B221" t="s">
        <v>1335</v>
      </c>
      <c r="C221" t="s">
        <v>1336</v>
      </c>
      <c r="D221" t="s">
        <v>1337</v>
      </c>
      <c r="E221" t="s">
        <v>1338</v>
      </c>
      <c r="F221" t="s">
        <v>27</v>
      </c>
      <c r="G221" t="s">
        <v>17</v>
      </c>
      <c r="H221" t="s">
        <v>28</v>
      </c>
      <c r="I221" t="s">
        <v>29</v>
      </c>
      <c r="J221" t="s">
        <v>30</v>
      </c>
      <c r="K221" t="s">
        <v>21</v>
      </c>
    </row>
    <row r="222" spans="1:12" ht="15.75" hidden="1" customHeight="1" x14ac:dyDescent="0.15">
      <c r="A222" t="s">
        <v>2698</v>
      </c>
      <c r="B222" t="s">
        <v>2699</v>
      </c>
      <c r="C222" t="s">
        <v>2700</v>
      </c>
      <c r="D222" t="s">
        <v>2701</v>
      </c>
      <c r="E222" t="s">
        <v>780</v>
      </c>
      <c r="F222" t="s">
        <v>16</v>
      </c>
      <c r="G222" t="s">
        <v>17</v>
      </c>
      <c r="H222" t="s">
        <v>2687</v>
      </c>
      <c r="I222" t="s">
        <v>65</v>
      </c>
      <c r="J222" t="s">
        <v>51</v>
      </c>
      <c r="K222" t="s">
        <v>66</v>
      </c>
      <c r="L222">
        <v>1</v>
      </c>
    </row>
    <row r="223" spans="1:12" ht="15.75" hidden="1" customHeight="1" x14ac:dyDescent="0.15">
      <c r="A223" t="s">
        <v>1865</v>
      </c>
      <c r="B223" t="s">
        <v>1866</v>
      </c>
      <c r="C223" t="s">
        <v>1867</v>
      </c>
      <c r="D223" t="s">
        <v>1868</v>
      </c>
      <c r="E223" t="s">
        <v>908</v>
      </c>
      <c r="F223" t="s">
        <v>27</v>
      </c>
      <c r="G223" t="s">
        <v>17</v>
      </c>
      <c r="H223" t="s">
        <v>28</v>
      </c>
      <c r="I223" t="s">
        <v>19</v>
      </c>
      <c r="J223" t="s">
        <v>20</v>
      </c>
      <c r="K223" t="s">
        <v>21</v>
      </c>
    </row>
    <row r="224" spans="1:12" ht="15.75" customHeight="1" x14ac:dyDescent="0.15">
      <c r="A224" t="s">
        <v>1349</v>
      </c>
      <c r="B224" t="s">
        <v>1350</v>
      </c>
      <c r="C224" t="s">
        <v>1351</v>
      </c>
      <c r="D224" t="s">
        <v>1352</v>
      </c>
      <c r="E224" t="s">
        <v>1353</v>
      </c>
      <c r="F224" t="s">
        <v>27</v>
      </c>
      <c r="G224" t="s">
        <v>17</v>
      </c>
      <c r="H224" t="s">
        <v>28</v>
      </c>
      <c r="I224" t="s">
        <v>29</v>
      </c>
      <c r="J224" t="s">
        <v>30</v>
      </c>
      <c r="K224" t="s">
        <v>21</v>
      </c>
    </row>
    <row r="225" spans="1:12" ht="15.75" hidden="1" customHeight="1" x14ac:dyDescent="0.15">
      <c r="A225" t="s">
        <v>2764</v>
      </c>
      <c r="B225" t="s">
        <v>2765</v>
      </c>
      <c r="C225" t="s">
        <v>2766</v>
      </c>
      <c r="D225" t="s">
        <v>2767</v>
      </c>
      <c r="E225" t="s">
        <v>2768</v>
      </c>
      <c r="F225" t="s">
        <v>16</v>
      </c>
      <c r="G225" t="s">
        <v>17</v>
      </c>
      <c r="H225" t="s">
        <v>2687</v>
      </c>
      <c r="I225" t="s">
        <v>65</v>
      </c>
      <c r="J225" t="s">
        <v>51</v>
      </c>
      <c r="K225" t="s">
        <v>66</v>
      </c>
      <c r="L225">
        <v>2</v>
      </c>
    </row>
    <row r="226" spans="1:12" ht="15.75" hidden="1" customHeight="1" x14ac:dyDescent="0.15">
      <c r="A226" t="s">
        <v>2799</v>
      </c>
      <c r="B226" t="s">
        <v>2800</v>
      </c>
      <c r="C226" t="s">
        <v>2801</v>
      </c>
      <c r="D226" t="s">
        <v>2802</v>
      </c>
      <c r="E226" t="s">
        <v>2803</v>
      </c>
      <c r="F226" t="s">
        <v>16</v>
      </c>
      <c r="G226" t="s">
        <v>17</v>
      </c>
      <c r="H226" t="s">
        <v>2687</v>
      </c>
      <c r="I226" t="s">
        <v>65</v>
      </c>
      <c r="J226" t="s">
        <v>51</v>
      </c>
      <c r="K226" t="s">
        <v>66</v>
      </c>
      <c r="L226">
        <v>3</v>
      </c>
    </row>
    <row r="227" spans="1:12" ht="15.75" hidden="1" customHeight="1" x14ac:dyDescent="0.15">
      <c r="A227" t="s">
        <v>1894</v>
      </c>
      <c r="B227" t="s">
        <v>1895</v>
      </c>
      <c r="C227" t="s">
        <v>1896</v>
      </c>
      <c r="D227" t="s">
        <v>1897</v>
      </c>
      <c r="E227" t="s">
        <v>1898</v>
      </c>
      <c r="F227" t="s">
        <v>27</v>
      </c>
      <c r="G227" t="s">
        <v>17</v>
      </c>
      <c r="H227" t="s">
        <v>28</v>
      </c>
      <c r="I227" t="s">
        <v>19</v>
      </c>
      <c r="J227" t="s">
        <v>20</v>
      </c>
      <c r="K227" t="s">
        <v>21</v>
      </c>
    </row>
    <row r="228" spans="1:12" ht="15.75" customHeight="1" x14ac:dyDescent="0.15">
      <c r="A228" t="s">
        <v>1433</v>
      </c>
      <c r="B228" t="s">
        <v>1434</v>
      </c>
      <c r="C228" t="s">
        <v>1435</v>
      </c>
      <c r="D228" t="s">
        <v>1436</v>
      </c>
      <c r="E228" t="s">
        <v>1437</v>
      </c>
      <c r="F228" t="s">
        <v>27</v>
      </c>
      <c r="G228" t="s">
        <v>17</v>
      </c>
      <c r="H228" t="s">
        <v>28</v>
      </c>
      <c r="I228" t="s">
        <v>29</v>
      </c>
      <c r="J228" t="s">
        <v>30</v>
      </c>
      <c r="K228" t="s">
        <v>21</v>
      </c>
    </row>
    <row r="229" spans="1:12" ht="15.75" customHeight="1" x14ac:dyDescent="0.15">
      <c r="A229" t="s">
        <v>1673</v>
      </c>
      <c r="B229" t="s">
        <v>1674</v>
      </c>
      <c r="C229" t="s">
        <v>1675</v>
      </c>
      <c r="D229" t="s">
        <v>1676</v>
      </c>
      <c r="E229" t="s">
        <v>1677</v>
      </c>
      <c r="F229" t="s">
        <v>27</v>
      </c>
      <c r="G229" t="s">
        <v>17</v>
      </c>
      <c r="H229" t="s">
        <v>28</v>
      </c>
      <c r="I229" t="s">
        <v>29</v>
      </c>
      <c r="J229" t="s">
        <v>30</v>
      </c>
      <c r="K229" t="s">
        <v>21</v>
      </c>
    </row>
    <row r="230" spans="1:12" ht="15.75" customHeight="1" x14ac:dyDescent="0.15">
      <c r="A230" t="s">
        <v>1708</v>
      </c>
      <c r="B230" t="s">
        <v>1709</v>
      </c>
      <c r="C230" t="s">
        <v>1710</v>
      </c>
      <c r="D230" t="s">
        <v>1711</v>
      </c>
      <c r="E230" t="s">
        <v>1712</v>
      </c>
      <c r="F230" t="s">
        <v>27</v>
      </c>
      <c r="G230" t="s">
        <v>17</v>
      </c>
      <c r="H230" t="s">
        <v>28</v>
      </c>
      <c r="I230" t="s">
        <v>29</v>
      </c>
      <c r="J230" t="s">
        <v>30</v>
      </c>
      <c r="K230" t="s">
        <v>21</v>
      </c>
    </row>
    <row r="231" spans="1:12" ht="15.75" customHeight="1" x14ac:dyDescent="0.15">
      <c r="A231" t="s">
        <v>1733</v>
      </c>
      <c r="B231" t="s">
        <v>1734</v>
      </c>
      <c r="C231" t="s">
        <v>1735</v>
      </c>
      <c r="D231" t="s">
        <v>1736</v>
      </c>
      <c r="E231" t="s">
        <v>1737</v>
      </c>
      <c r="F231" t="s">
        <v>27</v>
      </c>
      <c r="G231" t="s">
        <v>17</v>
      </c>
      <c r="H231" t="s">
        <v>28</v>
      </c>
      <c r="I231" t="s">
        <v>29</v>
      </c>
      <c r="J231" t="s">
        <v>30</v>
      </c>
      <c r="K231" t="s">
        <v>21</v>
      </c>
    </row>
    <row r="232" spans="1:12" ht="15.75" hidden="1" customHeight="1" x14ac:dyDescent="0.15">
      <c r="A232" t="s">
        <v>2809</v>
      </c>
      <c r="B232" t="s">
        <v>2810</v>
      </c>
      <c r="C232" t="s">
        <v>2811</v>
      </c>
      <c r="D232" t="s">
        <v>2812</v>
      </c>
      <c r="E232" t="s">
        <v>2813</v>
      </c>
      <c r="F232" t="s">
        <v>16</v>
      </c>
      <c r="G232" t="s">
        <v>17</v>
      </c>
      <c r="H232" t="s">
        <v>2687</v>
      </c>
      <c r="I232" t="s">
        <v>65</v>
      </c>
      <c r="J232" t="s">
        <v>51</v>
      </c>
      <c r="K232" t="s">
        <v>66</v>
      </c>
      <c r="L232">
        <v>4</v>
      </c>
    </row>
    <row r="233" spans="1:12" ht="15.75" hidden="1" customHeight="1" x14ac:dyDescent="0.15">
      <c r="A233" t="s">
        <v>2829</v>
      </c>
      <c r="B233" t="s">
        <v>2830</v>
      </c>
      <c r="C233" t="s">
        <v>2831</v>
      </c>
      <c r="D233" t="s">
        <v>2832</v>
      </c>
      <c r="E233" t="s">
        <v>2833</v>
      </c>
      <c r="F233" t="s">
        <v>16</v>
      </c>
      <c r="G233" t="s">
        <v>17</v>
      </c>
      <c r="H233" t="s">
        <v>2687</v>
      </c>
      <c r="I233" t="s">
        <v>65</v>
      </c>
      <c r="J233" t="s">
        <v>51</v>
      </c>
      <c r="K233" t="s">
        <v>66</v>
      </c>
      <c r="L233">
        <v>5</v>
      </c>
    </row>
    <row r="234" spans="1:12" ht="15.75" hidden="1" customHeight="1" x14ac:dyDescent="0.15">
      <c r="A234" t="s">
        <v>2884</v>
      </c>
      <c r="B234" t="s">
        <v>2885</v>
      </c>
      <c r="C234" t="s">
        <v>2886</v>
      </c>
      <c r="D234" t="s">
        <v>2887</v>
      </c>
      <c r="E234" t="s">
        <v>2888</v>
      </c>
      <c r="F234" t="s">
        <v>16</v>
      </c>
      <c r="G234" t="s">
        <v>17</v>
      </c>
      <c r="H234" t="s">
        <v>2687</v>
      </c>
      <c r="I234" t="s">
        <v>65</v>
      </c>
      <c r="J234" t="s">
        <v>51</v>
      </c>
      <c r="K234" t="s">
        <v>66</v>
      </c>
      <c r="L234">
        <v>6</v>
      </c>
    </row>
    <row r="235" spans="1:12" ht="15.75" hidden="1" customHeight="1" x14ac:dyDescent="0.15">
      <c r="A235" t="s">
        <v>1899</v>
      </c>
      <c r="B235" t="s">
        <v>1900</v>
      </c>
      <c r="C235" t="s">
        <v>1901</v>
      </c>
      <c r="D235" t="s">
        <v>1902</v>
      </c>
      <c r="E235" t="s">
        <v>1903</v>
      </c>
      <c r="F235" t="s">
        <v>27</v>
      </c>
      <c r="G235" t="s">
        <v>17</v>
      </c>
      <c r="H235" t="s">
        <v>28</v>
      </c>
      <c r="I235" t="s">
        <v>19</v>
      </c>
      <c r="J235" t="s">
        <v>20</v>
      </c>
      <c r="K235" t="s">
        <v>21</v>
      </c>
    </row>
    <row r="236" spans="1:12" ht="15.75" hidden="1" customHeight="1" x14ac:dyDescent="0.15">
      <c r="A236" t="s">
        <v>240</v>
      </c>
      <c r="B236" t="s">
        <v>241</v>
      </c>
      <c r="C236" t="s">
        <v>242</v>
      </c>
      <c r="D236" t="s">
        <v>243</v>
      </c>
      <c r="E236" t="s">
        <v>244</v>
      </c>
      <c r="F236" t="s">
        <v>16</v>
      </c>
      <c r="G236" t="s">
        <v>17</v>
      </c>
      <c r="H236" t="s">
        <v>124</v>
      </c>
      <c r="I236" t="s">
        <v>65</v>
      </c>
      <c r="J236" t="s">
        <v>51</v>
      </c>
      <c r="K236" t="s">
        <v>66</v>
      </c>
      <c r="L236">
        <v>1</v>
      </c>
    </row>
    <row r="237" spans="1:12" ht="15.75" hidden="1" customHeight="1" x14ac:dyDescent="0.15">
      <c r="A237" t="s">
        <v>438</v>
      </c>
      <c r="B237" t="s">
        <v>439</v>
      </c>
      <c r="C237" t="s">
        <v>440</v>
      </c>
      <c r="D237" t="s">
        <v>441</v>
      </c>
      <c r="E237" t="s">
        <v>442</v>
      </c>
      <c r="F237" t="s">
        <v>16</v>
      </c>
      <c r="G237" t="s">
        <v>17</v>
      </c>
      <c r="H237" t="s">
        <v>124</v>
      </c>
      <c r="I237" t="s">
        <v>65</v>
      </c>
      <c r="J237" t="s">
        <v>51</v>
      </c>
      <c r="K237" t="s">
        <v>66</v>
      </c>
      <c r="L237">
        <v>2</v>
      </c>
    </row>
    <row r="238" spans="1:12" ht="15.75" customHeight="1" x14ac:dyDescent="0.15">
      <c r="A238" t="s">
        <v>1746</v>
      </c>
      <c r="B238" t="s">
        <v>1747</v>
      </c>
      <c r="C238" t="s">
        <v>1748</v>
      </c>
      <c r="D238" t="s">
        <v>1749</v>
      </c>
      <c r="E238" t="s">
        <v>1750</v>
      </c>
      <c r="F238" t="s">
        <v>27</v>
      </c>
      <c r="G238" t="s">
        <v>17</v>
      </c>
      <c r="H238" t="s">
        <v>28</v>
      </c>
      <c r="I238" t="s">
        <v>29</v>
      </c>
      <c r="J238" t="s">
        <v>30</v>
      </c>
      <c r="K238" t="s">
        <v>21</v>
      </c>
    </row>
    <row r="239" spans="1:12" ht="15.75" customHeight="1" x14ac:dyDescent="0.15">
      <c r="A239" t="s">
        <v>1815</v>
      </c>
      <c r="B239" t="s">
        <v>1816</v>
      </c>
      <c r="C239" t="s">
        <v>1817</v>
      </c>
      <c r="D239" t="s">
        <v>1818</v>
      </c>
      <c r="E239" t="s">
        <v>1819</v>
      </c>
      <c r="F239" t="s">
        <v>27</v>
      </c>
      <c r="G239" t="s">
        <v>17</v>
      </c>
      <c r="H239" t="s">
        <v>28</v>
      </c>
      <c r="I239" t="s">
        <v>29</v>
      </c>
      <c r="J239" t="s">
        <v>30</v>
      </c>
      <c r="K239" t="s">
        <v>21</v>
      </c>
    </row>
    <row r="240" spans="1:12" ht="15.75" customHeight="1" x14ac:dyDescent="0.15">
      <c r="A240" t="s">
        <v>1869</v>
      </c>
      <c r="B240" t="s">
        <v>1870</v>
      </c>
      <c r="C240" t="s">
        <v>1871</v>
      </c>
      <c r="D240" t="s">
        <v>1872</v>
      </c>
      <c r="E240" t="s">
        <v>1873</v>
      </c>
      <c r="F240" t="s">
        <v>27</v>
      </c>
      <c r="G240" t="s">
        <v>17</v>
      </c>
      <c r="H240" t="s">
        <v>28</v>
      </c>
      <c r="I240" t="s">
        <v>29</v>
      </c>
      <c r="J240" t="s">
        <v>30</v>
      </c>
      <c r="K240" t="s">
        <v>21</v>
      </c>
    </row>
    <row r="241" spans="1:12" ht="15.75" hidden="1" customHeight="1" x14ac:dyDescent="0.15">
      <c r="A241" t="s">
        <v>553</v>
      </c>
      <c r="B241" t="s">
        <v>554</v>
      </c>
      <c r="C241" t="s">
        <v>555</v>
      </c>
      <c r="D241" t="s">
        <v>556</v>
      </c>
      <c r="E241" t="s">
        <v>557</v>
      </c>
      <c r="F241" t="s">
        <v>16</v>
      </c>
      <c r="G241" t="s">
        <v>17</v>
      </c>
      <c r="H241" t="s">
        <v>124</v>
      </c>
      <c r="I241" t="s">
        <v>65</v>
      </c>
      <c r="J241" t="s">
        <v>51</v>
      </c>
      <c r="K241" t="s">
        <v>66</v>
      </c>
      <c r="L241">
        <v>3</v>
      </c>
    </row>
    <row r="242" spans="1:12" ht="15.75" hidden="1" customHeight="1" x14ac:dyDescent="0.15">
      <c r="A242" t="s">
        <v>1049</v>
      </c>
      <c r="B242" t="s">
        <v>1050</v>
      </c>
      <c r="C242" t="s">
        <v>1051</v>
      </c>
      <c r="D242" t="s">
        <v>1052</v>
      </c>
      <c r="E242" t="s">
        <v>1053</v>
      </c>
      <c r="F242" t="s">
        <v>16</v>
      </c>
      <c r="G242" t="s">
        <v>17</v>
      </c>
      <c r="H242" t="s">
        <v>124</v>
      </c>
      <c r="I242" t="s">
        <v>65</v>
      </c>
      <c r="J242" t="s">
        <v>51</v>
      </c>
      <c r="K242" t="s">
        <v>66</v>
      </c>
      <c r="L242">
        <v>4</v>
      </c>
    </row>
    <row r="243" spans="1:12" ht="15.75" customHeight="1" x14ac:dyDescent="0.15">
      <c r="A243" t="s">
        <v>1879</v>
      </c>
      <c r="B243" t="s">
        <v>1880</v>
      </c>
      <c r="C243" t="s">
        <v>1881</v>
      </c>
      <c r="D243" t="s">
        <v>1882</v>
      </c>
      <c r="E243" t="s">
        <v>1883</v>
      </c>
      <c r="F243" t="s">
        <v>27</v>
      </c>
      <c r="G243" t="s">
        <v>17</v>
      </c>
      <c r="H243" t="s">
        <v>28</v>
      </c>
      <c r="I243" t="s">
        <v>29</v>
      </c>
      <c r="J243" t="s">
        <v>30</v>
      </c>
      <c r="K243" t="s">
        <v>21</v>
      </c>
    </row>
    <row r="244" spans="1:12" ht="15.75" customHeight="1" x14ac:dyDescent="0.15">
      <c r="A244" t="s">
        <v>1889</v>
      </c>
      <c r="B244" t="s">
        <v>1890</v>
      </c>
      <c r="C244" t="s">
        <v>1891</v>
      </c>
      <c r="D244" t="s">
        <v>1892</v>
      </c>
      <c r="E244" t="s">
        <v>1893</v>
      </c>
      <c r="F244" t="s">
        <v>27</v>
      </c>
      <c r="G244" t="s">
        <v>17</v>
      </c>
      <c r="H244" t="s">
        <v>28</v>
      </c>
      <c r="I244" t="s">
        <v>29</v>
      </c>
      <c r="J244" t="s">
        <v>30</v>
      </c>
      <c r="K244" t="s">
        <v>21</v>
      </c>
    </row>
    <row r="245" spans="1:12" ht="15.75" hidden="1" customHeight="1" x14ac:dyDescent="0.15">
      <c r="A245" t="s">
        <v>1964</v>
      </c>
      <c r="B245" t="s">
        <v>1965</v>
      </c>
      <c r="C245" t="s">
        <v>1966</v>
      </c>
      <c r="D245" t="s">
        <v>1967</v>
      </c>
      <c r="E245" t="s">
        <v>1968</v>
      </c>
      <c r="F245" t="s">
        <v>27</v>
      </c>
      <c r="G245" t="s">
        <v>17</v>
      </c>
      <c r="H245" t="s">
        <v>28</v>
      </c>
      <c r="I245" t="s">
        <v>19</v>
      </c>
      <c r="J245" t="s">
        <v>20</v>
      </c>
      <c r="K245" t="s">
        <v>21</v>
      </c>
    </row>
    <row r="246" spans="1:12" ht="15.75" hidden="1" customHeight="1" x14ac:dyDescent="0.15">
      <c r="A246" t="s">
        <v>1483</v>
      </c>
      <c r="B246" t="s">
        <v>1484</v>
      </c>
      <c r="C246" t="s">
        <v>1485</v>
      </c>
      <c r="D246" t="s">
        <v>1486</v>
      </c>
      <c r="E246" t="s">
        <v>1487</v>
      </c>
      <c r="F246" t="s">
        <v>16</v>
      </c>
      <c r="G246" t="s">
        <v>17</v>
      </c>
      <c r="H246" t="s">
        <v>124</v>
      </c>
      <c r="I246" t="s">
        <v>65</v>
      </c>
      <c r="J246" t="s">
        <v>51</v>
      </c>
      <c r="K246" t="s">
        <v>66</v>
      </c>
      <c r="L246">
        <v>5</v>
      </c>
    </row>
    <row r="247" spans="1:12" ht="15.75" hidden="1" customHeight="1" x14ac:dyDescent="0.15">
      <c r="A247" t="s">
        <v>1969</v>
      </c>
      <c r="B247" t="s">
        <v>1970</v>
      </c>
      <c r="C247" t="s">
        <v>1971</v>
      </c>
      <c r="D247" t="s">
        <v>1972</v>
      </c>
      <c r="E247" t="s">
        <v>1973</v>
      </c>
      <c r="F247" t="s">
        <v>27</v>
      </c>
      <c r="G247" t="s">
        <v>17</v>
      </c>
      <c r="H247" t="s">
        <v>28</v>
      </c>
      <c r="I247" t="s">
        <v>19</v>
      </c>
      <c r="J247" t="s">
        <v>20</v>
      </c>
      <c r="K247" t="s">
        <v>21</v>
      </c>
    </row>
    <row r="248" spans="1:12" ht="15.75" hidden="1" customHeight="1" x14ac:dyDescent="0.15">
      <c r="A248" t="s">
        <v>1974</v>
      </c>
      <c r="B248" t="s">
        <v>1975</v>
      </c>
      <c r="C248" t="s">
        <v>1976</v>
      </c>
      <c r="D248" t="s">
        <v>1977</v>
      </c>
      <c r="E248" t="s">
        <v>1978</v>
      </c>
      <c r="F248" t="s">
        <v>27</v>
      </c>
      <c r="G248" t="s">
        <v>17</v>
      </c>
      <c r="H248" t="s">
        <v>28</v>
      </c>
      <c r="I248" t="s">
        <v>19</v>
      </c>
      <c r="J248" t="s">
        <v>20</v>
      </c>
      <c r="K248" t="s">
        <v>21</v>
      </c>
    </row>
    <row r="249" spans="1:12" ht="15.75" hidden="1" customHeight="1" x14ac:dyDescent="0.15">
      <c r="A249" t="s">
        <v>672</v>
      </c>
      <c r="B249" t="s">
        <v>673</v>
      </c>
      <c r="C249" t="s">
        <v>674</v>
      </c>
      <c r="D249" t="s">
        <v>675</v>
      </c>
      <c r="E249" t="s">
        <v>676</v>
      </c>
      <c r="F249" t="s">
        <v>16</v>
      </c>
      <c r="G249" t="s">
        <v>17</v>
      </c>
      <c r="H249" t="s">
        <v>42</v>
      </c>
      <c r="I249" t="s">
        <v>65</v>
      </c>
      <c r="J249" t="s">
        <v>51</v>
      </c>
      <c r="K249" t="s">
        <v>66</v>
      </c>
      <c r="L249">
        <v>1</v>
      </c>
    </row>
    <row r="250" spans="1:12" ht="15.75" customHeight="1" x14ac:dyDescent="0.15">
      <c r="A250" t="s">
        <v>1954</v>
      </c>
      <c r="B250" t="s">
        <v>1955</v>
      </c>
      <c r="C250" t="s">
        <v>1956</v>
      </c>
      <c r="D250" t="s">
        <v>1957</v>
      </c>
      <c r="E250" t="s">
        <v>1958</v>
      </c>
      <c r="F250" t="s">
        <v>27</v>
      </c>
      <c r="G250" t="s">
        <v>17</v>
      </c>
      <c r="H250" t="s">
        <v>28</v>
      </c>
      <c r="I250" t="s">
        <v>29</v>
      </c>
      <c r="J250" t="s">
        <v>30</v>
      </c>
      <c r="K250" t="s">
        <v>21</v>
      </c>
    </row>
    <row r="251" spans="1:12" ht="15.75" customHeight="1" x14ac:dyDescent="0.15">
      <c r="A251" t="s">
        <v>1989</v>
      </c>
      <c r="B251" t="s">
        <v>1990</v>
      </c>
      <c r="C251" t="s">
        <v>1991</v>
      </c>
      <c r="D251" t="s">
        <v>1992</v>
      </c>
      <c r="E251" t="s">
        <v>1993</v>
      </c>
      <c r="F251" t="s">
        <v>27</v>
      </c>
      <c r="G251" t="s">
        <v>17</v>
      </c>
      <c r="H251" t="s">
        <v>28</v>
      </c>
      <c r="I251" t="s">
        <v>29</v>
      </c>
      <c r="J251" t="s">
        <v>30</v>
      </c>
      <c r="K251" t="s">
        <v>21</v>
      </c>
    </row>
    <row r="252" spans="1:12" ht="15.75" hidden="1" customHeight="1" x14ac:dyDescent="0.15">
      <c r="A252" t="s">
        <v>761</v>
      </c>
      <c r="B252" t="s">
        <v>762</v>
      </c>
      <c r="C252" t="s">
        <v>763</v>
      </c>
      <c r="D252" t="s">
        <v>764</v>
      </c>
      <c r="E252" t="s">
        <v>765</v>
      </c>
      <c r="F252" t="s">
        <v>16</v>
      </c>
      <c r="G252" t="s">
        <v>17</v>
      </c>
      <c r="H252" t="s">
        <v>42</v>
      </c>
      <c r="I252" t="s">
        <v>65</v>
      </c>
      <c r="J252" t="s">
        <v>51</v>
      </c>
      <c r="K252" t="s">
        <v>66</v>
      </c>
      <c r="L252">
        <v>2</v>
      </c>
    </row>
    <row r="253" spans="1:12" ht="15.75" hidden="1" customHeight="1" x14ac:dyDescent="0.15">
      <c r="A253" t="s">
        <v>1384</v>
      </c>
      <c r="B253" t="s">
        <v>1385</v>
      </c>
      <c r="C253" t="s">
        <v>1386</v>
      </c>
      <c r="D253" t="s">
        <v>1387</v>
      </c>
      <c r="E253" t="s">
        <v>1388</v>
      </c>
      <c r="F253" t="s">
        <v>16</v>
      </c>
      <c r="G253" t="s">
        <v>17</v>
      </c>
      <c r="H253" t="s">
        <v>42</v>
      </c>
      <c r="I253" t="s">
        <v>65</v>
      </c>
      <c r="J253" t="s">
        <v>51</v>
      </c>
      <c r="K253" t="s">
        <v>66</v>
      </c>
      <c r="L253">
        <v>3</v>
      </c>
    </row>
    <row r="254" spans="1:12" ht="15.75" customHeight="1" x14ac:dyDescent="0.15">
      <c r="A254" t="s">
        <v>2009</v>
      </c>
      <c r="B254" t="s">
        <v>2010</v>
      </c>
      <c r="C254" t="s">
        <v>2011</v>
      </c>
      <c r="D254" t="s">
        <v>2012</v>
      </c>
      <c r="E254" t="s">
        <v>2013</v>
      </c>
      <c r="F254" t="s">
        <v>27</v>
      </c>
      <c r="G254" t="s">
        <v>17</v>
      </c>
      <c r="H254" t="s">
        <v>28</v>
      </c>
      <c r="I254" t="s">
        <v>29</v>
      </c>
      <c r="J254" t="s">
        <v>30</v>
      </c>
      <c r="K254" t="s">
        <v>21</v>
      </c>
    </row>
    <row r="255" spans="1:12" ht="15.75" hidden="1" customHeight="1" x14ac:dyDescent="0.15">
      <c r="A255" t="s">
        <v>1568</v>
      </c>
      <c r="B255" t="s">
        <v>1569</v>
      </c>
      <c r="C255" t="s">
        <v>1570</v>
      </c>
      <c r="D255" t="s">
        <v>1571</v>
      </c>
      <c r="E255" t="s">
        <v>1572</v>
      </c>
      <c r="F255" t="s">
        <v>16</v>
      </c>
      <c r="G255" t="s">
        <v>17</v>
      </c>
      <c r="H255" t="s">
        <v>42</v>
      </c>
      <c r="I255" t="s">
        <v>65</v>
      </c>
      <c r="J255" t="s">
        <v>51</v>
      </c>
      <c r="K255" t="s">
        <v>66</v>
      </c>
      <c r="L255">
        <v>4</v>
      </c>
    </row>
    <row r="256" spans="1:12" ht="15.75" hidden="1" customHeight="1" x14ac:dyDescent="0.15">
      <c r="A256" t="s">
        <v>1979</v>
      </c>
      <c r="B256" t="s">
        <v>1980</v>
      </c>
      <c r="C256" t="s">
        <v>1981</v>
      </c>
      <c r="D256" t="s">
        <v>1982</v>
      </c>
      <c r="E256" t="s">
        <v>1983</v>
      </c>
      <c r="F256" t="s">
        <v>27</v>
      </c>
      <c r="G256" t="s">
        <v>17</v>
      </c>
      <c r="H256" t="s">
        <v>28</v>
      </c>
      <c r="I256" t="s">
        <v>19</v>
      </c>
      <c r="J256" t="s">
        <v>20</v>
      </c>
      <c r="K256" t="s">
        <v>21</v>
      </c>
    </row>
    <row r="257" spans="1:12" ht="15.75" hidden="1" customHeight="1" x14ac:dyDescent="0.15">
      <c r="A257" t="s">
        <v>2043</v>
      </c>
      <c r="B257" t="s">
        <v>2044</v>
      </c>
      <c r="C257" t="s">
        <v>2045</v>
      </c>
      <c r="D257" t="s">
        <v>2046</v>
      </c>
      <c r="E257" t="s">
        <v>2047</v>
      </c>
      <c r="F257" t="s">
        <v>27</v>
      </c>
      <c r="G257" t="s">
        <v>17</v>
      </c>
      <c r="H257" t="s">
        <v>28</v>
      </c>
      <c r="I257" t="s">
        <v>19</v>
      </c>
      <c r="J257" t="s">
        <v>20</v>
      </c>
      <c r="K257" t="s">
        <v>21</v>
      </c>
    </row>
    <row r="258" spans="1:12" ht="15.75" hidden="1" customHeight="1" x14ac:dyDescent="0.15">
      <c r="A258" t="s">
        <v>1618</v>
      </c>
      <c r="B258" t="s">
        <v>1619</v>
      </c>
      <c r="C258" t="s">
        <v>1620</v>
      </c>
      <c r="D258" t="s">
        <v>1621</v>
      </c>
      <c r="E258" t="s">
        <v>1622</v>
      </c>
      <c r="F258" t="s">
        <v>16</v>
      </c>
      <c r="G258" t="s">
        <v>17</v>
      </c>
      <c r="H258" t="s">
        <v>42</v>
      </c>
      <c r="I258" t="s">
        <v>65</v>
      </c>
      <c r="J258" t="s">
        <v>51</v>
      </c>
      <c r="K258" t="s">
        <v>66</v>
      </c>
      <c r="L258">
        <v>5</v>
      </c>
    </row>
    <row r="259" spans="1:12" ht="15.75" hidden="1" customHeight="1" x14ac:dyDescent="0.15">
      <c r="A259" t="s">
        <v>374</v>
      </c>
      <c r="B259" t="s">
        <v>375</v>
      </c>
      <c r="C259" t="s">
        <v>376</v>
      </c>
      <c r="D259" t="s">
        <v>377</v>
      </c>
      <c r="E259" t="s">
        <v>378</v>
      </c>
      <c r="F259" t="s">
        <v>16</v>
      </c>
      <c r="G259" t="s">
        <v>17</v>
      </c>
      <c r="H259" t="s">
        <v>150</v>
      </c>
      <c r="I259" t="s">
        <v>65</v>
      </c>
      <c r="J259" t="s">
        <v>51</v>
      </c>
      <c r="K259" t="s">
        <v>66</v>
      </c>
      <c r="L259">
        <v>1</v>
      </c>
    </row>
    <row r="260" spans="1:12" ht="15.75" hidden="1" customHeight="1" x14ac:dyDescent="0.15">
      <c r="A260" t="s">
        <v>821</v>
      </c>
      <c r="B260" t="s">
        <v>822</v>
      </c>
      <c r="C260" t="s">
        <v>823</v>
      </c>
      <c r="D260" t="s">
        <v>824</v>
      </c>
      <c r="E260" t="s">
        <v>825</v>
      </c>
      <c r="F260" t="s">
        <v>16</v>
      </c>
      <c r="G260" t="s">
        <v>17</v>
      </c>
      <c r="H260" t="s">
        <v>150</v>
      </c>
      <c r="I260" t="s">
        <v>65</v>
      </c>
      <c r="J260" t="s">
        <v>51</v>
      </c>
      <c r="K260" t="s">
        <v>66</v>
      </c>
      <c r="L260">
        <v>2</v>
      </c>
    </row>
    <row r="261" spans="1:12" ht="15.75" customHeight="1" x14ac:dyDescent="0.15">
      <c r="A261" t="s">
        <v>2053</v>
      </c>
      <c r="B261" t="s">
        <v>2054</v>
      </c>
      <c r="C261" t="s">
        <v>2055</v>
      </c>
      <c r="D261" t="s">
        <v>2056</v>
      </c>
      <c r="E261" t="s">
        <v>2057</v>
      </c>
      <c r="F261" t="s">
        <v>27</v>
      </c>
      <c r="G261" t="s">
        <v>17</v>
      </c>
      <c r="H261" t="s">
        <v>28</v>
      </c>
      <c r="I261" t="s">
        <v>29</v>
      </c>
      <c r="J261" t="s">
        <v>30</v>
      </c>
      <c r="K261" t="s">
        <v>21</v>
      </c>
    </row>
    <row r="262" spans="1:12" ht="15.75" customHeight="1" x14ac:dyDescent="0.15">
      <c r="A262" t="s">
        <v>2068</v>
      </c>
      <c r="B262" t="s">
        <v>2069</v>
      </c>
      <c r="C262" t="s">
        <v>2070</v>
      </c>
      <c r="D262" t="s">
        <v>2071</v>
      </c>
      <c r="E262" t="s">
        <v>2072</v>
      </c>
      <c r="F262" t="s">
        <v>27</v>
      </c>
      <c r="G262" t="s">
        <v>17</v>
      </c>
      <c r="H262" t="s">
        <v>28</v>
      </c>
      <c r="I262" t="s">
        <v>29</v>
      </c>
      <c r="J262" t="s">
        <v>30</v>
      </c>
      <c r="K262" t="s">
        <v>21</v>
      </c>
    </row>
    <row r="263" spans="1:12" ht="15.75" hidden="1" customHeight="1" x14ac:dyDescent="0.15">
      <c r="A263" t="s">
        <v>924</v>
      </c>
      <c r="B263" t="s">
        <v>925</v>
      </c>
      <c r="C263" t="s">
        <v>926</v>
      </c>
      <c r="D263" t="s">
        <v>927</v>
      </c>
      <c r="E263" t="s">
        <v>928</v>
      </c>
      <c r="F263" t="s">
        <v>16</v>
      </c>
      <c r="G263" t="s">
        <v>17</v>
      </c>
      <c r="H263" t="s">
        <v>150</v>
      </c>
      <c r="I263" t="s">
        <v>65</v>
      </c>
      <c r="J263" t="s">
        <v>51</v>
      </c>
      <c r="K263" t="s">
        <v>66</v>
      </c>
      <c r="L263">
        <v>3</v>
      </c>
    </row>
    <row r="264" spans="1:12" ht="15.75" hidden="1" customHeight="1" x14ac:dyDescent="0.15">
      <c r="A264" t="s">
        <v>1195</v>
      </c>
      <c r="B264" t="s">
        <v>1196</v>
      </c>
      <c r="C264" t="s">
        <v>1197</v>
      </c>
      <c r="D264" t="s">
        <v>1198</v>
      </c>
      <c r="E264" t="s">
        <v>1199</v>
      </c>
      <c r="F264" t="s">
        <v>16</v>
      </c>
      <c r="G264" t="s">
        <v>17</v>
      </c>
      <c r="H264" t="s">
        <v>150</v>
      </c>
      <c r="I264" t="s">
        <v>65</v>
      </c>
      <c r="J264" t="s">
        <v>51</v>
      </c>
      <c r="K264" t="s">
        <v>66</v>
      </c>
      <c r="L264">
        <v>4</v>
      </c>
    </row>
    <row r="265" spans="1:12" ht="15.75" hidden="1" customHeight="1" x14ac:dyDescent="0.15">
      <c r="A265" t="s">
        <v>1209</v>
      </c>
      <c r="B265" t="s">
        <v>1210</v>
      </c>
      <c r="C265" t="s">
        <v>1211</v>
      </c>
      <c r="D265" t="s">
        <v>1212</v>
      </c>
      <c r="E265" t="s">
        <v>1213</v>
      </c>
      <c r="F265" t="s">
        <v>16</v>
      </c>
      <c r="G265" t="s">
        <v>17</v>
      </c>
      <c r="H265" t="s">
        <v>150</v>
      </c>
      <c r="I265" t="s">
        <v>65</v>
      </c>
      <c r="J265" t="s">
        <v>51</v>
      </c>
      <c r="K265" t="s">
        <v>66</v>
      </c>
      <c r="L265">
        <v>5</v>
      </c>
    </row>
    <row r="266" spans="1:12" ht="15.75" hidden="1" customHeight="1" x14ac:dyDescent="0.15">
      <c r="A266" s="1" t="s">
        <v>151</v>
      </c>
      <c r="B266" s="1" t="s">
        <v>152</v>
      </c>
      <c r="C266" s="1" t="s">
        <v>153</v>
      </c>
      <c r="D266" s="1" t="s">
        <v>154</v>
      </c>
      <c r="E266" s="1" t="s">
        <v>155</v>
      </c>
      <c r="F266" s="1" t="s">
        <v>16</v>
      </c>
      <c r="G266" s="1" t="s">
        <v>17</v>
      </c>
      <c r="H266" s="1" t="s">
        <v>36</v>
      </c>
      <c r="I266" s="1" t="s">
        <v>65</v>
      </c>
      <c r="J266" s="1" t="s">
        <v>51</v>
      </c>
      <c r="K266" s="1" t="s">
        <v>66</v>
      </c>
      <c r="L266">
        <v>1</v>
      </c>
    </row>
    <row r="267" spans="1:12" ht="15.75" hidden="1" customHeight="1" x14ac:dyDescent="0.15">
      <c r="A267" t="s">
        <v>320</v>
      </c>
      <c r="B267" t="s">
        <v>321</v>
      </c>
      <c r="C267" t="s">
        <v>322</v>
      </c>
      <c r="D267" t="s">
        <v>323</v>
      </c>
      <c r="E267" t="s">
        <v>324</v>
      </c>
      <c r="F267" t="s">
        <v>16</v>
      </c>
      <c r="G267" t="s">
        <v>17</v>
      </c>
      <c r="H267" t="s">
        <v>36</v>
      </c>
      <c r="I267" t="s">
        <v>65</v>
      </c>
      <c r="J267" t="s">
        <v>51</v>
      </c>
      <c r="K267" t="s">
        <v>66</v>
      </c>
      <c r="L267">
        <v>2</v>
      </c>
    </row>
    <row r="268" spans="1:12" ht="15.75" customHeight="1" x14ac:dyDescent="0.15">
      <c r="A268" t="s">
        <v>2073</v>
      </c>
      <c r="B268" t="s">
        <v>2074</v>
      </c>
      <c r="C268" t="s">
        <v>2075</v>
      </c>
      <c r="D268" t="s">
        <v>2076</v>
      </c>
      <c r="E268" t="s">
        <v>2077</v>
      </c>
      <c r="F268" t="s">
        <v>27</v>
      </c>
      <c r="G268" t="s">
        <v>17</v>
      </c>
      <c r="H268" t="s">
        <v>28</v>
      </c>
      <c r="I268" t="s">
        <v>29</v>
      </c>
      <c r="J268" t="s">
        <v>30</v>
      </c>
      <c r="K268" t="s">
        <v>21</v>
      </c>
    </row>
    <row r="269" spans="1:12" ht="15.75" hidden="1" customHeight="1" x14ac:dyDescent="0.15">
      <c r="A269" t="s">
        <v>2112</v>
      </c>
      <c r="B269" t="s">
        <v>2113</v>
      </c>
      <c r="C269" t="s">
        <v>2114</v>
      </c>
      <c r="D269" t="s">
        <v>2115</v>
      </c>
      <c r="E269" t="s">
        <v>2116</v>
      </c>
      <c r="F269" t="s">
        <v>27</v>
      </c>
      <c r="G269" t="s">
        <v>17</v>
      </c>
      <c r="H269" t="s">
        <v>28</v>
      </c>
      <c r="I269" t="s">
        <v>19</v>
      </c>
      <c r="J269" t="s">
        <v>20</v>
      </c>
      <c r="K269" t="s">
        <v>21</v>
      </c>
    </row>
    <row r="270" spans="1:12" ht="15.75" hidden="1" customHeight="1" x14ac:dyDescent="0.15">
      <c r="A270" t="s">
        <v>359</v>
      </c>
      <c r="B270" t="s">
        <v>360</v>
      </c>
      <c r="C270" t="s">
        <v>361</v>
      </c>
      <c r="D270" t="s">
        <v>362</v>
      </c>
      <c r="E270" t="s">
        <v>363</v>
      </c>
      <c r="F270" t="s">
        <v>16</v>
      </c>
      <c r="G270" t="s">
        <v>17</v>
      </c>
      <c r="H270" t="s">
        <v>36</v>
      </c>
      <c r="I270" t="s">
        <v>65</v>
      </c>
      <c r="J270" t="s">
        <v>51</v>
      </c>
      <c r="K270" t="s">
        <v>66</v>
      </c>
      <c r="L270">
        <v>3</v>
      </c>
    </row>
    <row r="271" spans="1:12" ht="15.75" hidden="1" customHeight="1" x14ac:dyDescent="0.15">
      <c r="A271" t="s">
        <v>2122</v>
      </c>
      <c r="B271" t="s">
        <v>2123</v>
      </c>
      <c r="C271" t="s">
        <v>2124</v>
      </c>
      <c r="D271" t="s">
        <v>2125</v>
      </c>
      <c r="E271" t="s">
        <v>2126</v>
      </c>
      <c r="F271" t="s">
        <v>27</v>
      </c>
      <c r="G271" t="s">
        <v>17</v>
      </c>
      <c r="H271" t="s">
        <v>28</v>
      </c>
      <c r="I271" t="s">
        <v>19</v>
      </c>
      <c r="J271" t="s">
        <v>20</v>
      </c>
      <c r="K271" t="s">
        <v>21</v>
      </c>
    </row>
    <row r="272" spans="1:12" ht="15.75" customHeight="1" x14ac:dyDescent="0.15">
      <c r="A272" t="s">
        <v>2078</v>
      </c>
      <c r="B272" t="s">
        <v>2079</v>
      </c>
      <c r="C272" t="s">
        <v>2080</v>
      </c>
      <c r="D272" t="s">
        <v>2081</v>
      </c>
      <c r="E272" t="s">
        <v>2082</v>
      </c>
      <c r="F272" t="s">
        <v>27</v>
      </c>
      <c r="G272" t="s">
        <v>17</v>
      </c>
      <c r="H272" t="s">
        <v>28</v>
      </c>
      <c r="I272" t="s">
        <v>29</v>
      </c>
      <c r="J272" t="s">
        <v>30</v>
      </c>
      <c r="K272" t="s">
        <v>21</v>
      </c>
    </row>
    <row r="273" spans="1:12" ht="15.75" hidden="1" customHeight="1" x14ac:dyDescent="0.15">
      <c r="A273" t="s">
        <v>771</v>
      </c>
      <c r="B273" t="s">
        <v>772</v>
      </c>
      <c r="C273" t="s">
        <v>773</v>
      </c>
      <c r="D273" t="s">
        <v>774</v>
      </c>
      <c r="E273" t="s">
        <v>775</v>
      </c>
      <c r="F273" t="s">
        <v>16</v>
      </c>
      <c r="G273" t="s">
        <v>17</v>
      </c>
      <c r="H273" t="s">
        <v>36</v>
      </c>
      <c r="I273" t="s">
        <v>65</v>
      </c>
      <c r="J273" t="s">
        <v>51</v>
      </c>
      <c r="K273" t="s">
        <v>66</v>
      </c>
      <c r="L273">
        <v>4</v>
      </c>
    </row>
    <row r="274" spans="1:12" ht="15.75" hidden="1" customHeight="1" x14ac:dyDescent="0.15">
      <c r="A274" t="s">
        <v>2132</v>
      </c>
      <c r="B274" t="s">
        <v>2133</v>
      </c>
      <c r="C274" t="s">
        <v>2134</v>
      </c>
      <c r="D274" t="s">
        <v>2135</v>
      </c>
      <c r="E274" t="s">
        <v>2136</v>
      </c>
      <c r="F274" t="s">
        <v>27</v>
      </c>
      <c r="G274" t="s">
        <v>17</v>
      </c>
      <c r="H274" t="s">
        <v>28</v>
      </c>
      <c r="I274" t="s">
        <v>19</v>
      </c>
      <c r="J274" t="s">
        <v>20</v>
      </c>
      <c r="K274" t="s">
        <v>21</v>
      </c>
    </row>
    <row r="275" spans="1:12" ht="15.75" hidden="1" customHeight="1" x14ac:dyDescent="0.15">
      <c r="A275" t="s">
        <v>1309</v>
      </c>
      <c r="B275" t="s">
        <v>1310</v>
      </c>
      <c r="C275" t="s">
        <v>1311</v>
      </c>
      <c r="D275" t="s">
        <v>1312</v>
      </c>
      <c r="E275" t="s">
        <v>1313</v>
      </c>
      <c r="F275" t="s">
        <v>16</v>
      </c>
      <c r="G275" t="s">
        <v>17</v>
      </c>
      <c r="H275" t="s">
        <v>36</v>
      </c>
      <c r="I275" t="s">
        <v>65</v>
      </c>
      <c r="J275" t="s">
        <v>51</v>
      </c>
      <c r="K275" t="s">
        <v>66</v>
      </c>
      <c r="L275">
        <v>5</v>
      </c>
    </row>
    <row r="276" spans="1:12" ht="15.75" hidden="1" customHeight="1" x14ac:dyDescent="0.15">
      <c r="A276" s="1" t="s">
        <v>60</v>
      </c>
      <c r="B276" s="1" t="s">
        <v>61</v>
      </c>
      <c r="C276" s="1" t="s">
        <v>62</v>
      </c>
      <c r="D276" s="1" t="s">
        <v>63</v>
      </c>
      <c r="E276" s="1" t="s">
        <v>64</v>
      </c>
      <c r="F276" s="1" t="s">
        <v>27</v>
      </c>
      <c r="G276" s="1" t="s">
        <v>17</v>
      </c>
      <c r="H276" s="1" t="s">
        <v>28</v>
      </c>
      <c r="I276" s="1" t="s">
        <v>65</v>
      </c>
      <c r="J276" s="1" t="s">
        <v>51</v>
      </c>
      <c r="K276" s="1" t="s">
        <v>66</v>
      </c>
    </row>
    <row r="277" spans="1:12" ht="15.75" hidden="1" customHeight="1" x14ac:dyDescent="0.15">
      <c r="A277" t="s">
        <v>2182</v>
      </c>
      <c r="B277" t="s">
        <v>2183</v>
      </c>
      <c r="C277" t="s">
        <v>2184</v>
      </c>
      <c r="D277" t="s">
        <v>2185</v>
      </c>
      <c r="E277" t="s">
        <v>2186</v>
      </c>
      <c r="F277" t="s">
        <v>27</v>
      </c>
      <c r="G277" t="s">
        <v>17</v>
      </c>
      <c r="H277" t="s">
        <v>28</v>
      </c>
      <c r="I277" t="s">
        <v>19</v>
      </c>
      <c r="J277" t="s">
        <v>20</v>
      </c>
      <c r="K277" t="s">
        <v>21</v>
      </c>
    </row>
    <row r="278" spans="1:12" ht="15.75" hidden="1" customHeight="1" x14ac:dyDescent="0.15">
      <c r="A278" s="1" t="s">
        <v>98</v>
      </c>
      <c r="B278" s="1" t="s">
        <v>99</v>
      </c>
      <c r="C278" s="1" t="s">
        <v>100</v>
      </c>
      <c r="D278" s="1" t="s">
        <v>101</v>
      </c>
      <c r="E278" s="1" t="s">
        <v>102</v>
      </c>
      <c r="F278" s="1" t="s">
        <v>27</v>
      </c>
      <c r="G278" s="1" t="s">
        <v>17</v>
      </c>
      <c r="H278" s="1" t="s">
        <v>28</v>
      </c>
      <c r="I278" s="1" t="s">
        <v>65</v>
      </c>
      <c r="J278" s="1" t="s">
        <v>51</v>
      </c>
      <c r="K278" s="1" t="s">
        <v>66</v>
      </c>
    </row>
    <row r="279" spans="1:12" ht="15.75" customHeight="1" x14ac:dyDescent="0.15">
      <c r="A279" t="s">
        <v>2092</v>
      </c>
      <c r="B279" t="s">
        <v>2093</v>
      </c>
      <c r="C279" t="s">
        <v>2094</v>
      </c>
      <c r="D279" t="s">
        <v>2095</v>
      </c>
      <c r="E279" t="s">
        <v>2096</v>
      </c>
      <c r="F279" t="s">
        <v>27</v>
      </c>
      <c r="G279" t="s">
        <v>17</v>
      </c>
      <c r="H279" t="s">
        <v>28</v>
      </c>
      <c r="I279" t="s">
        <v>29</v>
      </c>
      <c r="J279" t="s">
        <v>30</v>
      </c>
      <c r="K279" t="s">
        <v>21</v>
      </c>
    </row>
    <row r="280" spans="1:12" ht="15.75" hidden="1" customHeight="1" x14ac:dyDescent="0.15">
      <c r="A280" t="s">
        <v>310</v>
      </c>
      <c r="B280" t="s">
        <v>311</v>
      </c>
      <c r="C280" t="s">
        <v>312</v>
      </c>
      <c r="D280" t="s">
        <v>313</v>
      </c>
      <c r="E280" t="s">
        <v>314</v>
      </c>
      <c r="F280" t="s">
        <v>27</v>
      </c>
      <c r="G280" t="s">
        <v>17</v>
      </c>
      <c r="H280" t="s">
        <v>28</v>
      </c>
      <c r="I280" t="s">
        <v>65</v>
      </c>
      <c r="J280" t="s">
        <v>51</v>
      </c>
      <c r="K280" t="s">
        <v>66</v>
      </c>
    </row>
    <row r="281" spans="1:12" ht="15.75" customHeight="1" x14ac:dyDescent="0.15">
      <c r="A281" t="s">
        <v>2162</v>
      </c>
      <c r="B281" t="s">
        <v>2163</v>
      </c>
      <c r="C281" t="s">
        <v>2164</v>
      </c>
      <c r="D281" t="s">
        <v>2165</v>
      </c>
      <c r="E281" t="s">
        <v>2166</v>
      </c>
      <c r="F281" t="s">
        <v>27</v>
      </c>
      <c r="G281" t="s">
        <v>17</v>
      </c>
      <c r="H281" t="s">
        <v>28</v>
      </c>
      <c r="I281" t="s">
        <v>29</v>
      </c>
      <c r="J281" t="s">
        <v>30</v>
      </c>
      <c r="K281" t="s">
        <v>21</v>
      </c>
    </row>
    <row r="282" spans="1:12" ht="15.75" hidden="1" customHeight="1" x14ac:dyDescent="0.15">
      <c r="A282" t="s">
        <v>315</v>
      </c>
      <c r="B282" t="s">
        <v>316</v>
      </c>
      <c r="C282" t="s">
        <v>317</v>
      </c>
      <c r="D282" t="s">
        <v>318</v>
      </c>
      <c r="E282" t="s">
        <v>319</v>
      </c>
      <c r="F282" t="s">
        <v>27</v>
      </c>
      <c r="G282" t="s">
        <v>17</v>
      </c>
      <c r="H282" t="s">
        <v>28</v>
      </c>
      <c r="I282" t="s">
        <v>65</v>
      </c>
      <c r="J282" t="s">
        <v>51</v>
      </c>
      <c r="K282" t="s">
        <v>66</v>
      </c>
    </row>
    <row r="283" spans="1:12" ht="15.75" hidden="1" customHeight="1" x14ac:dyDescent="0.15">
      <c r="A283" t="s">
        <v>325</v>
      </c>
      <c r="B283" t="s">
        <v>326</v>
      </c>
      <c r="C283" t="s">
        <v>327</v>
      </c>
      <c r="D283" t="s">
        <v>328</v>
      </c>
      <c r="E283" t="s">
        <v>328</v>
      </c>
      <c r="F283" t="s">
        <v>27</v>
      </c>
      <c r="G283" t="s">
        <v>17</v>
      </c>
      <c r="H283" t="s">
        <v>28</v>
      </c>
      <c r="I283" t="s">
        <v>65</v>
      </c>
      <c r="J283" t="s">
        <v>51</v>
      </c>
      <c r="K283" t="s">
        <v>66</v>
      </c>
    </row>
    <row r="284" spans="1:12" ht="15.75" hidden="1" customHeight="1" x14ac:dyDescent="0.15">
      <c r="A284" t="s">
        <v>413</v>
      </c>
      <c r="B284" t="s">
        <v>414</v>
      </c>
      <c r="C284" t="s">
        <v>415</v>
      </c>
      <c r="D284" t="s">
        <v>416</v>
      </c>
      <c r="E284" t="s">
        <v>417</v>
      </c>
      <c r="F284" t="s">
        <v>27</v>
      </c>
      <c r="G284" t="s">
        <v>17</v>
      </c>
      <c r="H284" t="s">
        <v>28</v>
      </c>
      <c r="I284" t="s">
        <v>65</v>
      </c>
      <c r="J284" t="s">
        <v>51</v>
      </c>
      <c r="K284" t="s">
        <v>66</v>
      </c>
    </row>
    <row r="285" spans="1:12" ht="15.75" customHeight="1" x14ac:dyDescent="0.15">
      <c r="A285" t="s">
        <v>2177</v>
      </c>
      <c r="B285" t="s">
        <v>2178</v>
      </c>
      <c r="C285" t="s">
        <v>2179</v>
      </c>
      <c r="D285" t="s">
        <v>2180</v>
      </c>
      <c r="E285" t="s">
        <v>2181</v>
      </c>
      <c r="F285" t="s">
        <v>27</v>
      </c>
      <c r="G285" t="s">
        <v>17</v>
      </c>
      <c r="H285" t="s">
        <v>28</v>
      </c>
      <c r="I285" t="s">
        <v>29</v>
      </c>
      <c r="J285" t="s">
        <v>30</v>
      </c>
      <c r="K285" t="s">
        <v>21</v>
      </c>
    </row>
    <row r="286" spans="1:12" ht="15.75" hidden="1" customHeight="1" x14ac:dyDescent="0.15">
      <c r="A286" t="s">
        <v>428</v>
      </c>
      <c r="B286" t="s">
        <v>429</v>
      </c>
      <c r="C286" t="s">
        <v>430</v>
      </c>
      <c r="D286" t="s">
        <v>431</v>
      </c>
      <c r="E286" t="s">
        <v>432</v>
      </c>
      <c r="F286" t="s">
        <v>27</v>
      </c>
      <c r="G286" t="s">
        <v>17</v>
      </c>
      <c r="H286" t="s">
        <v>28</v>
      </c>
      <c r="I286" t="s">
        <v>65</v>
      </c>
      <c r="J286" t="s">
        <v>51</v>
      </c>
      <c r="K286" t="s">
        <v>66</v>
      </c>
    </row>
    <row r="287" spans="1:12" ht="15.75" customHeight="1" x14ac:dyDescent="0.15">
      <c r="A287" t="s">
        <v>2257</v>
      </c>
      <c r="B287" t="s">
        <v>2258</v>
      </c>
      <c r="C287" t="s">
        <v>2259</v>
      </c>
      <c r="D287" t="s">
        <v>2260</v>
      </c>
      <c r="E287" t="s">
        <v>2261</v>
      </c>
      <c r="F287" t="s">
        <v>27</v>
      </c>
      <c r="G287" t="s">
        <v>17</v>
      </c>
      <c r="H287" t="s">
        <v>28</v>
      </c>
      <c r="I287" t="s">
        <v>29</v>
      </c>
      <c r="J287" t="s">
        <v>30</v>
      </c>
      <c r="K287" t="s">
        <v>21</v>
      </c>
    </row>
    <row r="288" spans="1:12" ht="15.75" hidden="1" customHeight="1" x14ac:dyDescent="0.15">
      <c r="A288" t="s">
        <v>463</v>
      </c>
      <c r="B288" t="s">
        <v>464</v>
      </c>
      <c r="C288" t="s">
        <v>465</v>
      </c>
      <c r="D288" t="s">
        <v>466</v>
      </c>
      <c r="E288" t="s">
        <v>467</v>
      </c>
      <c r="F288" t="s">
        <v>27</v>
      </c>
      <c r="G288" t="s">
        <v>17</v>
      </c>
      <c r="H288" t="s">
        <v>28</v>
      </c>
      <c r="I288" t="s">
        <v>65</v>
      </c>
      <c r="J288" t="s">
        <v>51</v>
      </c>
      <c r="K288" t="s">
        <v>66</v>
      </c>
    </row>
    <row r="289" spans="1:11" ht="15.75" hidden="1" customHeight="1" x14ac:dyDescent="0.15">
      <c r="A289" t="s">
        <v>573</v>
      </c>
      <c r="B289" t="s">
        <v>574</v>
      </c>
      <c r="C289" t="s">
        <v>575</v>
      </c>
      <c r="D289" t="s">
        <v>576</v>
      </c>
      <c r="E289" t="s">
        <v>577</v>
      </c>
      <c r="F289" t="s">
        <v>27</v>
      </c>
      <c r="G289" t="s">
        <v>17</v>
      </c>
      <c r="H289" t="s">
        <v>28</v>
      </c>
      <c r="I289" t="s">
        <v>65</v>
      </c>
      <c r="J289" t="s">
        <v>51</v>
      </c>
      <c r="K289" t="s">
        <v>66</v>
      </c>
    </row>
    <row r="290" spans="1:11" ht="15.75" customHeight="1" x14ac:dyDescent="0.15">
      <c r="A290" t="s">
        <v>2321</v>
      </c>
      <c r="B290" t="s">
        <v>2322</v>
      </c>
      <c r="C290" t="s">
        <v>2323</v>
      </c>
      <c r="D290" t="s">
        <v>2324</v>
      </c>
      <c r="E290" t="s">
        <v>686</v>
      </c>
      <c r="F290" t="s">
        <v>27</v>
      </c>
      <c r="G290" t="s">
        <v>17</v>
      </c>
      <c r="H290" t="s">
        <v>28</v>
      </c>
      <c r="I290" t="s">
        <v>29</v>
      </c>
      <c r="J290" t="s">
        <v>30</v>
      </c>
      <c r="K290" t="s">
        <v>21</v>
      </c>
    </row>
    <row r="291" spans="1:11" ht="15.75" hidden="1" customHeight="1" x14ac:dyDescent="0.15">
      <c r="A291" t="s">
        <v>637</v>
      </c>
      <c r="B291" t="s">
        <v>638</v>
      </c>
      <c r="C291" t="s">
        <v>639</v>
      </c>
      <c r="D291" t="s">
        <v>640</v>
      </c>
      <c r="E291" t="s">
        <v>641</v>
      </c>
      <c r="F291" t="s">
        <v>27</v>
      </c>
      <c r="G291" t="s">
        <v>17</v>
      </c>
      <c r="H291" t="s">
        <v>28</v>
      </c>
      <c r="I291" t="s">
        <v>65</v>
      </c>
      <c r="J291" t="s">
        <v>51</v>
      </c>
      <c r="K291" t="s">
        <v>66</v>
      </c>
    </row>
    <row r="292" spans="1:11" ht="15.75" hidden="1" customHeight="1" x14ac:dyDescent="0.15">
      <c r="A292" t="s">
        <v>2202</v>
      </c>
      <c r="B292" t="s">
        <v>2203</v>
      </c>
      <c r="C292" t="s">
        <v>2204</v>
      </c>
      <c r="D292" t="s">
        <v>2205</v>
      </c>
      <c r="E292" t="s">
        <v>2206</v>
      </c>
      <c r="F292" t="s">
        <v>27</v>
      </c>
      <c r="G292" t="s">
        <v>17</v>
      </c>
      <c r="H292" t="s">
        <v>28</v>
      </c>
      <c r="I292" t="s">
        <v>19</v>
      </c>
      <c r="J292" t="s">
        <v>20</v>
      </c>
      <c r="K292" t="s">
        <v>21</v>
      </c>
    </row>
    <row r="293" spans="1:11" ht="15.75" customHeight="1" x14ac:dyDescent="0.15">
      <c r="A293" t="s">
        <v>2330</v>
      </c>
      <c r="B293" t="s">
        <v>2331</v>
      </c>
      <c r="C293" t="s">
        <v>2332</v>
      </c>
      <c r="D293" t="s">
        <v>2333</v>
      </c>
      <c r="E293" t="s">
        <v>2334</v>
      </c>
      <c r="F293" t="s">
        <v>27</v>
      </c>
      <c r="G293" t="s">
        <v>17</v>
      </c>
      <c r="H293" t="s">
        <v>28</v>
      </c>
      <c r="I293" t="s">
        <v>29</v>
      </c>
      <c r="J293" t="s">
        <v>30</v>
      </c>
      <c r="K293" t="s">
        <v>21</v>
      </c>
    </row>
    <row r="294" spans="1:11" ht="15.75" customHeight="1" x14ac:dyDescent="0.15">
      <c r="A294" t="s">
        <v>2335</v>
      </c>
      <c r="B294" t="s">
        <v>2336</v>
      </c>
      <c r="C294" t="s">
        <v>2337</v>
      </c>
      <c r="D294" t="s">
        <v>2338</v>
      </c>
      <c r="E294" t="s">
        <v>2339</v>
      </c>
      <c r="F294" t="s">
        <v>27</v>
      </c>
      <c r="G294" t="s">
        <v>17</v>
      </c>
      <c r="H294" t="s">
        <v>28</v>
      </c>
      <c r="I294" t="s">
        <v>29</v>
      </c>
      <c r="J294" t="s">
        <v>30</v>
      </c>
      <c r="K294" t="s">
        <v>21</v>
      </c>
    </row>
    <row r="295" spans="1:11" ht="15.75" customHeight="1" x14ac:dyDescent="0.15">
      <c r="A295" t="s">
        <v>2384</v>
      </c>
      <c r="B295" t="s">
        <v>2385</v>
      </c>
      <c r="C295" t="s">
        <v>2386</v>
      </c>
      <c r="D295" t="s">
        <v>2387</v>
      </c>
      <c r="E295" t="s">
        <v>2388</v>
      </c>
      <c r="F295" t="s">
        <v>27</v>
      </c>
      <c r="G295" t="s">
        <v>17</v>
      </c>
      <c r="H295" t="s">
        <v>28</v>
      </c>
      <c r="I295" t="s">
        <v>29</v>
      </c>
      <c r="J295" t="s">
        <v>30</v>
      </c>
      <c r="K295" t="s">
        <v>21</v>
      </c>
    </row>
    <row r="296" spans="1:11" ht="15.75" hidden="1" customHeight="1" x14ac:dyDescent="0.15">
      <c r="A296" t="s">
        <v>657</v>
      </c>
      <c r="B296" t="s">
        <v>658</v>
      </c>
      <c r="C296" t="s">
        <v>659</v>
      </c>
      <c r="D296" t="s">
        <v>660</v>
      </c>
      <c r="E296" t="s">
        <v>661</v>
      </c>
      <c r="F296" t="s">
        <v>27</v>
      </c>
      <c r="G296" t="s">
        <v>17</v>
      </c>
      <c r="H296" t="s">
        <v>28</v>
      </c>
      <c r="I296" t="s">
        <v>65</v>
      </c>
      <c r="J296" t="s">
        <v>51</v>
      </c>
      <c r="K296" t="s">
        <v>66</v>
      </c>
    </row>
    <row r="297" spans="1:11" ht="15.75" customHeight="1" x14ac:dyDescent="0.15">
      <c r="A297" t="s">
        <v>2394</v>
      </c>
      <c r="B297" t="s">
        <v>2395</v>
      </c>
      <c r="C297" t="s">
        <v>2396</v>
      </c>
      <c r="D297" t="s">
        <v>2397</v>
      </c>
      <c r="E297" t="s">
        <v>2398</v>
      </c>
      <c r="F297" t="s">
        <v>27</v>
      </c>
      <c r="G297" t="s">
        <v>17</v>
      </c>
      <c r="H297" t="s">
        <v>28</v>
      </c>
      <c r="I297" t="s">
        <v>29</v>
      </c>
      <c r="J297" t="s">
        <v>30</v>
      </c>
      <c r="K297" t="s">
        <v>21</v>
      </c>
    </row>
    <row r="298" spans="1:11" ht="15.75" customHeight="1" x14ac:dyDescent="0.15">
      <c r="A298" t="s">
        <v>2404</v>
      </c>
      <c r="B298" t="s">
        <v>2405</v>
      </c>
      <c r="C298" t="s">
        <v>2406</v>
      </c>
      <c r="D298" t="s">
        <v>2407</v>
      </c>
      <c r="E298" t="s">
        <v>2408</v>
      </c>
      <c r="F298" t="s">
        <v>27</v>
      </c>
      <c r="G298" t="s">
        <v>17</v>
      </c>
      <c r="H298" t="s">
        <v>28</v>
      </c>
      <c r="I298" t="s">
        <v>29</v>
      </c>
      <c r="J298" t="s">
        <v>30</v>
      </c>
      <c r="K298" t="s">
        <v>21</v>
      </c>
    </row>
    <row r="299" spans="1:11" ht="15.75" customHeight="1" x14ac:dyDescent="0.15">
      <c r="A299" t="s">
        <v>2418</v>
      </c>
      <c r="B299" t="s">
        <v>2419</v>
      </c>
      <c r="C299" t="s">
        <v>2420</v>
      </c>
      <c r="D299" t="s">
        <v>2421</v>
      </c>
      <c r="E299" t="s">
        <v>2422</v>
      </c>
      <c r="F299" t="s">
        <v>27</v>
      </c>
      <c r="G299" t="s">
        <v>17</v>
      </c>
      <c r="H299" t="s">
        <v>28</v>
      </c>
      <c r="I299" t="s">
        <v>29</v>
      </c>
      <c r="J299" t="s">
        <v>30</v>
      </c>
      <c r="K299" t="s">
        <v>21</v>
      </c>
    </row>
    <row r="300" spans="1:11" ht="15.75" customHeight="1" x14ac:dyDescent="0.15">
      <c r="A300" t="s">
        <v>2485</v>
      </c>
      <c r="B300" t="s">
        <v>2486</v>
      </c>
      <c r="C300" t="s">
        <v>2487</v>
      </c>
      <c r="D300" t="s">
        <v>2488</v>
      </c>
      <c r="E300" t="s">
        <v>2489</v>
      </c>
      <c r="F300" t="s">
        <v>27</v>
      </c>
      <c r="G300" t="s">
        <v>17</v>
      </c>
      <c r="H300" t="s">
        <v>28</v>
      </c>
      <c r="I300" t="s">
        <v>29</v>
      </c>
      <c r="J300" t="s">
        <v>30</v>
      </c>
      <c r="K300" t="s">
        <v>21</v>
      </c>
    </row>
    <row r="301" spans="1:11" ht="15.75" customHeight="1" x14ac:dyDescent="0.15">
      <c r="A301" t="s">
        <v>2490</v>
      </c>
      <c r="B301" t="s">
        <v>2491</v>
      </c>
      <c r="C301" t="s">
        <v>2492</v>
      </c>
      <c r="D301" t="s">
        <v>2493</v>
      </c>
      <c r="E301" t="s">
        <v>2494</v>
      </c>
      <c r="F301" t="s">
        <v>27</v>
      </c>
      <c r="G301" t="s">
        <v>17</v>
      </c>
      <c r="H301" t="s">
        <v>28</v>
      </c>
      <c r="I301" t="s">
        <v>29</v>
      </c>
      <c r="J301" t="s">
        <v>30</v>
      </c>
      <c r="K301" t="s">
        <v>21</v>
      </c>
    </row>
    <row r="302" spans="1:11" ht="15.75" hidden="1" customHeight="1" x14ac:dyDescent="0.15">
      <c r="A302" t="s">
        <v>742</v>
      </c>
      <c r="B302" t="s">
        <v>743</v>
      </c>
      <c r="C302" t="s">
        <v>744</v>
      </c>
      <c r="D302" t="s">
        <v>745</v>
      </c>
      <c r="E302" t="s">
        <v>746</v>
      </c>
      <c r="F302" t="s">
        <v>27</v>
      </c>
      <c r="G302" t="s">
        <v>17</v>
      </c>
      <c r="H302" t="s">
        <v>28</v>
      </c>
      <c r="I302" t="s">
        <v>65</v>
      </c>
      <c r="J302" t="s">
        <v>51</v>
      </c>
      <c r="K302" t="s">
        <v>66</v>
      </c>
    </row>
    <row r="303" spans="1:11" ht="15.75" customHeight="1" x14ac:dyDescent="0.15">
      <c r="A303" t="s">
        <v>2500</v>
      </c>
      <c r="B303" t="s">
        <v>2501</v>
      </c>
      <c r="C303" t="s">
        <v>2502</v>
      </c>
      <c r="D303" t="s">
        <v>2503</v>
      </c>
      <c r="E303" t="s">
        <v>2504</v>
      </c>
      <c r="F303" t="s">
        <v>27</v>
      </c>
      <c r="G303" t="s">
        <v>17</v>
      </c>
      <c r="H303" t="s">
        <v>28</v>
      </c>
      <c r="I303" t="s">
        <v>29</v>
      </c>
      <c r="J303" t="s">
        <v>30</v>
      </c>
      <c r="K303" t="s">
        <v>21</v>
      </c>
    </row>
    <row r="304" spans="1:11" ht="15.75" hidden="1" customHeight="1" x14ac:dyDescent="0.15">
      <c r="A304" t="s">
        <v>747</v>
      </c>
      <c r="B304" t="s">
        <v>748</v>
      </c>
      <c r="C304" t="s">
        <v>749</v>
      </c>
      <c r="D304" t="s">
        <v>750</v>
      </c>
      <c r="E304" t="s">
        <v>81</v>
      </c>
      <c r="F304" t="s">
        <v>27</v>
      </c>
      <c r="G304" t="s">
        <v>17</v>
      </c>
      <c r="H304" t="s">
        <v>28</v>
      </c>
      <c r="I304" t="s">
        <v>65</v>
      </c>
      <c r="J304" t="s">
        <v>51</v>
      </c>
      <c r="K304" t="s">
        <v>66</v>
      </c>
    </row>
    <row r="305" spans="1:12" ht="15.75" hidden="1" customHeight="1" x14ac:dyDescent="0.15">
      <c r="A305" t="s">
        <v>781</v>
      </c>
      <c r="B305" t="s">
        <v>782</v>
      </c>
      <c r="C305" t="s">
        <v>783</v>
      </c>
      <c r="D305" t="s">
        <v>784</v>
      </c>
      <c r="E305" t="s">
        <v>785</v>
      </c>
      <c r="F305" t="s">
        <v>27</v>
      </c>
      <c r="G305" t="s">
        <v>17</v>
      </c>
      <c r="H305" t="s">
        <v>28</v>
      </c>
      <c r="I305" t="s">
        <v>65</v>
      </c>
      <c r="J305" t="s">
        <v>51</v>
      </c>
      <c r="K305" t="s">
        <v>66</v>
      </c>
    </row>
    <row r="306" spans="1:12" ht="15.75" customHeight="1" x14ac:dyDescent="0.15">
      <c r="A306" t="s">
        <v>2520</v>
      </c>
      <c r="B306" t="s">
        <v>2521</v>
      </c>
      <c r="C306" t="s">
        <v>2522</v>
      </c>
      <c r="D306" t="s">
        <v>2523</v>
      </c>
      <c r="E306" t="s">
        <v>2524</v>
      </c>
      <c r="F306" t="s">
        <v>27</v>
      </c>
      <c r="G306" t="s">
        <v>17</v>
      </c>
      <c r="H306" t="s">
        <v>28</v>
      </c>
      <c r="I306" t="s">
        <v>29</v>
      </c>
      <c r="J306" t="s">
        <v>30</v>
      </c>
      <c r="K306" t="s">
        <v>21</v>
      </c>
    </row>
    <row r="307" spans="1:12" ht="15.75" hidden="1" customHeight="1" x14ac:dyDescent="0.15">
      <c r="A307" t="s">
        <v>2227</v>
      </c>
      <c r="B307" t="s">
        <v>2228</v>
      </c>
      <c r="C307" t="s">
        <v>2229</v>
      </c>
      <c r="D307" t="s">
        <v>2230</v>
      </c>
      <c r="E307" t="s">
        <v>2231</v>
      </c>
      <c r="F307" t="s">
        <v>27</v>
      </c>
      <c r="G307" t="s">
        <v>17</v>
      </c>
      <c r="H307" t="s">
        <v>28</v>
      </c>
      <c r="I307" t="s">
        <v>19</v>
      </c>
      <c r="J307" t="s">
        <v>20</v>
      </c>
      <c r="K307" t="s">
        <v>21</v>
      </c>
    </row>
    <row r="308" spans="1:12" ht="15.75" hidden="1" customHeight="1" x14ac:dyDescent="0.15">
      <c r="A308" t="s">
        <v>851</v>
      </c>
      <c r="B308" t="s">
        <v>852</v>
      </c>
      <c r="C308" t="s">
        <v>853</v>
      </c>
      <c r="D308" t="s">
        <v>854</v>
      </c>
      <c r="E308" t="s">
        <v>855</v>
      </c>
      <c r="F308" t="s">
        <v>27</v>
      </c>
      <c r="G308" t="s">
        <v>17</v>
      </c>
      <c r="H308" t="s">
        <v>28</v>
      </c>
      <c r="I308" t="s">
        <v>65</v>
      </c>
      <c r="J308" t="s">
        <v>51</v>
      </c>
      <c r="K308" t="s">
        <v>66</v>
      </c>
    </row>
    <row r="309" spans="1:12" ht="15.75" hidden="1" customHeight="1" x14ac:dyDescent="0.15">
      <c r="A309" t="s">
        <v>870</v>
      </c>
      <c r="B309" t="s">
        <v>871</v>
      </c>
      <c r="C309" t="s">
        <v>872</v>
      </c>
      <c r="D309" t="s">
        <v>873</v>
      </c>
      <c r="E309" t="s">
        <v>874</v>
      </c>
      <c r="F309" t="s">
        <v>27</v>
      </c>
      <c r="G309" t="s">
        <v>17</v>
      </c>
      <c r="H309" t="s">
        <v>28</v>
      </c>
      <c r="I309" t="s">
        <v>65</v>
      </c>
      <c r="J309" t="s">
        <v>51</v>
      </c>
      <c r="K309" t="s">
        <v>66</v>
      </c>
    </row>
    <row r="310" spans="1:12" ht="15.75" customHeight="1" x14ac:dyDescent="0.15">
      <c r="A310" t="s">
        <v>2530</v>
      </c>
      <c r="B310" t="s">
        <v>2531</v>
      </c>
      <c r="C310" t="s">
        <v>2532</v>
      </c>
      <c r="D310" t="s">
        <v>2533</v>
      </c>
      <c r="E310" t="s">
        <v>2534</v>
      </c>
      <c r="F310" t="s">
        <v>27</v>
      </c>
      <c r="G310" t="s">
        <v>17</v>
      </c>
      <c r="H310" t="s">
        <v>28</v>
      </c>
      <c r="I310" t="s">
        <v>29</v>
      </c>
      <c r="J310" t="s">
        <v>30</v>
      </c>
      <c r="K310" t="s">
        <v>21</v>
      </c>
    </row>
    <row r="311" spans="1:12" ht="15.75" hidden="1" customHeight="1" x14ac:dyDescent="0.15">
      <c r="A311" t="s">
        <v>1098</v>
      </c>
      <c r="B311" t="s">
        <v>1099</v>
      </c>
      <c r="C311" t="s">
        <v>1100</v>
      </c>
      <c r="D311" t="s">
        <v>1101</v>
      </c>
      <c r="E311" t="s">
        <v>1097</v>
      </c>
      <c r="F311" t="s">
        <v>27</v>
      </c>
      <c r="G311" t="s">
        <v>17</v>
      </c>
      <c r="H311" t="s">
        <v>28</v>
      </c>
      <c r="I311" t="s">
        <v>65</v>
      </c>
      <c r="J311" t="s">
        <v>51</v>
      </c>
      <c r="K311" t="s">
        <v>66</v>
      </c>
    </row>
    <row r="312" spans="1:12" ht="15.75" hidden="1" customHeight="1" x14ac:dyDescent="0.15">
      <c r="A312" t="s">
        <v>1112</v>
      </c>
      <c r="B312" t="s">
        <v>1113</v>
      </c>
      <c r="C312" t="s">
        <v>1114</v>
      </c>
      <c r="D312" t="s">
        <v>1115</v>
      </c>
      <c r="E312" t="s">
        <v>1116</v>
      </c>
      <c r="F312" t="s">
        <v>27</v>
      </c>
      <c r="G312" t="s">
        <v>17</v>
      </c>
      <c r="H312" t="s">
        <v>28</v>
      </c>
      <c r="I312" t="s">
        <v>65</v>
      </c>
      <c r="J312" t="s">
        <v>51</v>
      </c>
      <c r="K312" t="s">
        <v>66</v>
      </c>
    </row>
    <row r="313" spans="1:12" ht="15.75" customHeight="1" x14ac:dyDescent="0.15">
      <c r="A313" t="s">
        <v>2599</v>
      </c>
      <c r="B313" t="s">
        <v>2600</v>
      </c>
      <c r="C313" t="s">
        <v>2601</v>
      </c>
      <c r="D313" t="s">
        <v>2602</v>
      </c>
      <c r="E313" t="s">
        <v>1527</v>
      </c>
      <c r="F313" t="s">
        <v>27</v>
      </c>
      <c r="G313" t="s">
        <v>17</v>
      </c>
      <c r="H313" t="s">
        <v>28</v>
      </c>
      <c r="I313" t="s">
        <v>29</v>
      </c>
      <c r="J313" t="s">
        <v>30</v>
      </c>
      <c r="K313" t="s">
        <v>21</v>
      </c>
    </row>
    <row r="314" spans="1:12" ht="15.75" hidden="1" customHeight="1" x14ac:dyDescent="0.15">
      <c r="A314" t="s">
        <v>1126</v>
      </c>
      <c r="B314" t="s">
        <v>1127</v>
      </c>
      <c r="C314" t="s">
        <v>1128</v>
      </c>
      <c r="D314" t="s">
        <v>1129</v>
      </c>
      <c r="E314" t="s">
        <v>1130</v>
      </c>
      <c r="F314" t="s">
        <v>27</v>
      </c>
      <c r="G314" t="s">
        <v>17</v>
      </c>
      <c r="H314" t="s">
        <v>28</v>
      </c>
      <c r="I314" t="s">
        <v>65</v>
      </c>
      <c r="J314" t="s">
        <v>51</v>
      </c>
      <c r="K314" t="s">
        <v>66</v>
      </c>
    </row>
    <row r="315" spans="1:12" ht="15.75" customHeight="1" x14ac:dyDescent="0.15">
      <c r="A315" t="s">
        <v>2643</v>
      </c>
      <c r="B315" t="s">
        <v>2644</v>
      </c>
      <c r="C315" t="s">
        <v>2645</v>
      </c>
      <c r="D315" t="s">
        <v>2646</v>
      </c>
      <c r="E315" t="s">
        <v>2647</v>
      </c>
      <c r="F315" t="s">
        <v>27</v>
      </c>
      <c r="G315" t="s">
        <v>17</v>
      </c>
      <c r="H315" t="s">
        <v>28</v>
      </c>
      <c r="I315" t="s">
        <v>29</v>
      </c>
      <c r="J315" t="s">
        <v>30</v>
      </c>
      <c r="K315" t="s">
        <v>21</v>
      </c>
    </row>
    <row r="316" spans="1:12" ht="15.75" hidden="1" customHeight="1" x14ac:dyDescent="0.15">
      <c r="A316" t="s">
        <v>1141</v>
      </c>
      <c r="B316" t="s">
        <v>1142</v>
      </c>
      <c r="C316" t="s">
        <v>1143</v>
      </c>
      <c r="D316" t="s">
        <v>1144</v>
      </c>
      <c r="E316" t="s">
        <v>1145</v>
      </c>
      <c r="F316" t="s">
        <v>27</v>
      </c>
      <c r="G316" t="s">
        <v>17</v>
      </c>
      <c r="H316" t="s">
        <v>28</v>
      </c>
      <c r="I316" t="s">
        <v>65</v>
      </c>
      <c r="J316" t="s">
        <v>51</v>
      </c>
      <c r="K316" t="s">
        <v>66</v>
      </c>
    </row>
    <row r="317" spans="1:12" ht="15.75" hidden="1" customHeight="1" x14ac:dyDescent="0.15">
      <c r="A317" t="s">
        <v>1156</v>
      </c>
      <c r="B317" t="s">
        <v>1157</v>
      </c>
      <c r="C317" t="s">
        <v>1158</v>
      </c>
      <c r="D317" t="s">
        <v>1159</v>
      </c>
      <c r="E317" t="s">
        <v>1160</v>
      </c>
      <c r="F317" t="s">
        <v>27</v>
      </c>
      <c r="G317" t="s">
        <v>17</v>
      </c>
      <c r="H317" t="s">
        <v>28</v>
      </c>
      <c r="I317" t="s">
        <v>65</v>
      </c>
      <c r="J317" t="s">
        <v>51</v>
      </c>
      <c r="K317" t="s">
        <v>66</v>
      </c>
    </row>
    <row r="318" spans="1:12" ht="15.75" customHeight="1" x14ac:dyDescent="0.15">
      <c r="A318" t="s">
        <v>607</v>
      </c>
      <c r="B318" s="3" t="s">
        <v>608</v>
      </c>
      <c r="C318" t="s">
        <v>609</v>
      </c>
      <c r="D318" t="s">
        <v>610</v>
      </c>
      <c r="E318" t="s">
        <v>611</v>
      </c>
      <c r="F318" t="s">
        <v>16</v>
      </c>
      <c r="G318" s="5" t="s">
        <v>17</v>
      </c>
      <c r="H318" t="s">
        <v>18</v>
      </c>
      <c r="I318" t="s">
        <v>29</v>
      </c>
      <c r="J318" t="s">
        <v>30</v>
      </c>
      <c r="K318" t="s">
        <v>21</v>
      </c>
      <c r="L318">
        <v>1</v>
      </c>
    </row>
    <row r="319" spans="1:12" ht="15.75" hidden="1" customHeight="1" x14ac:dyDescent="0.15">
      <c r="A319" t="s">
        <v>1244</v>
      </c>
      <c r="B319" t="s">
        <v>1245</v>
      </c>
      <c r="C319" t="s">
        <v>1246</v>
      </c>
      <c r="D319" t="s">
        <v>1247</v>
      </c>
      <c r="E319" t="s">
        <v>1248</v>
      </c>
      <c r="F319" t="s">
        <v>27</v>
      </c>
      <c r="G319" t="s">
        <v>17</v>
      </c>
      <c r="H319" t="s">
        <v>28</v>
      </c>
      <c r="I319" t="s">
        <v>65</v>
      </c>
      <c r="J319" t="s">
        <v>51</v>
      </c>
      <c r="K319" t="s">
        <v>66</v>
      </c>
    </row>
    <row r="320" spans="1:12" ht="15.75" hidden="1" customHeight="1" x14ac:dyDescent="0.15">
      <c r="A320" t="s">
        <v>1359</v>
      </c>
      <c r="B320" t="s">
        <v>1360</v>
      </c>
      <c r="C320" t="s">
        <v>1361</v>
      </c>
      <c r="D320" t="s">
        <v>1362</v>
      </c>
      <c r="E320" t="s">
        <v>1363</v>
      </c>
      <c r="F320" t="s">
        <v>27</v>
      </c>
      <c r="G320" t="s">
        <v>17</v>
      </c>
      <c r="H320" t="s">
        <v>28</v>
      </c>
      <c r="I320" t="s">
        <v>65</v>
      </c>
      <c r="J320" t="s">
        <v>51</v>
      </c>
      <c r="K320" t="s">
        <v>66</v>
      </c>
    </row>
    <row r="321" spans="1:12" ht="15.75" hidden="1" customHeight="1" x14ac:dyDescent="0.15">
      <c r="A321" t="s">
        <v>1399</v>
      </c>
      <c r="B321" t="s">
        <v>1400</v>
      </c>
      <c r="C321" t="s">
        <v>1401</v>
      </c>
      <c r="D321" t="s">
        <v>1402</v>
      </c>
      <c r="E321" t="s">
        <v>1403</v>
      </c>
      <c r="F321" t="s">
        <v>27</v>
      </c>
      <c r="G321" t="s">
        <v>17</v>
      </c>
      <c r="H321" t="s">
        <v>28</v>
      </c>
      <c r="I321" t="s">
        <v>65</v>
      </c>
      <c r="J321" t="s">
        <v>51</v>
      </c>
      <c r="K321" t="s">
        <v>66</v>
      </c>
    </row>
    <row r="322" spans="1:12" ht="15.75" hidden="1" customHeight="1" x14ac:dyDescent="0.15">
      <c r="A322" t="s">
        <v>1429</v>
      </c>
      <c r="B322" t="s">
        <v>1430</v>
      </c>
      <c r="C322" t="s">
        <v>1431</v>
      </c>
      <c r="D322" t="s">
        <v>1432</v>
      </c>
      <c r="E322" t="s">
        <v>948</v>
      </c>
      <c r="F322" t="s">
        <v>27</v>
      </c>
      <c r="G322" t="s">
        <v>17</v>
      </c>
      <c r="H322" t="s">
        <v>28</v>
      </c>
      <c r="I322" t="s">
        <v>65</v>
      </c>
      <c r="J322" t="s">
        <v>51</v>
      </c>
      <c r="K322" t="s">
        <v>66</v>
      </c>
    </row>
    <row r="323" spans="1:12" ht="15.75" hidden="1" customHeight="1" x14ac:dyDescent="0.15">
      <c r="A323" t="s">
        <v>1508</v>
      </c>
      <c r="B323" t="s">
        <v>1509</v>
      </c>
      <c r="C323" t="s">
        <v>1510</v>
      </c>
      <c r="D323" t="s">
        <v>1511</v>
      </c>
      <c r="E323" t="s">
        <v>1512</v>
      </c>
      <c r="F323" t="s">
        <v>27</v>
      </c>
      <c r="G323" t="s">
        <v>17</v>
      </c>
      <c r="H323" t="s">
        <v>28</v>
      </c>
      <c r="I323" t="s">
        <v>65</v>
      </c>
      <c r="J323" t="s">
        <v>51</v>
      </c>
      <c r="K323" t="s">
        <v>66</v>
      </c>
    </row>
    <row r="324" spans="1:12" ht="15.75" hidden="1" customHeight="1" x14ac:dyDescent="0.15">
      <c r="A324" t="s">
        <v>1533</v>
      </c>
      <c r="B324" t="s">
        <v>1534</v>
      </c>
      <c r="C324" t="s">
        <v>1535</v>
      </c>
      <c r="D324" t="s">
        <v>1536</v>
      </c>
      <c r="E324" t="s">
        <v>1537</v>
      </c>
      <c r="F324" t="s">
        <v>27</v>
      </c>
      <c r="G324" t="s">
        <v>17</v>
      </c>
      <c r="H324" t="s">
        <v>28</v>
      </c>
      <c r="I324" t="s">
        <v>65</v>
      </c>
      <c r="J324" t="s">
        <v>51</v>
      </c>
      <c r="K324" t="s">
        <v>66</v>
      </c>
    </row>
    <row r="325" spans="1:12" ht="15.75" hidden="1" customHeight="1" x14ac:dyDescent="0.15">
      <c r="A325" t="s">
        <v>1543</v>
      </c>
      <c r="B325" t="s">
        <v>1544</v>
      </c>
      <c r="C325" t="s">
        <v>1545</v>
      </c>
      <c r="D325" t="s">
        <v>1546</v>
      </c>
      <c r="E325" t="s">
        <v>1547</v>
      </c>
      <c r="F325" t="s">
        <v>27</v>
      </c>
      <c r="G325" t="s">
        <v>17</v>
      </c>
      <c r="H325" t="s">
        <v>28</v>
      </c>
      <c r="I325" t="s">
        <v>65</v>
      </c>
      <c r="J325" t="s">
        <v>51</v>
      </c>
      <c r="K325" t="s">
        <v>66</v>
      </c>
    </row>
    <row r="326" spans="1:12" ht="15.75" hidden="1" customHeight="1" x14ac:dyDescent="0.15">
      <c r="A326" t="s">
        <v>1613</v>
      </c>
      <c r="B326" t="s">
        <v>1614</v>
      </c>
      <c r="C326" t="s">
        <v>1615</v>
      </c>
      <c r="D326" t="s">
        <v>1616</v>
      </c>
      <c r="E326" t="s">
        <v>1617</v>
      </c>
      <c r="F326" t="s">
        <v>27</v>
      </c>
      <c r="G326" t="s">
        <v>17</v>
      </c>
      <c r="H326" t="s">
        <v>28</v>
      </c>
      <c r="I326" t="s">
        <v>65</v>
      </c>
      <c r="J326" t="s">
        <v>51</v>
      </c>
      <c r="K326" t="s">
        <v>66</v>
      </c>
    </row>
    <row r="327" spans="1:12" ht="15.75" hidden="1" customHeight="1" x14ac:dyDescent="0.15">
      <c r="A327" t="s">
        <v>1633</v>
      </c>
      <c r="B327" t="s">
        <v>1634</v>
      </c>
      <c r="C327" t="s">
        <v>1635</v>
      </c>
      <c r="D327" t="s">
        <v>1636</v>
      </c>
      <c r="E327" t="s">
        <v>1637</v>
      </c>
      <c r="F327" t="s">
        <v>27</v>
      </c>
      <c r="G327" t="s">
        <v>17</v>
      </c>
      <c r="H327" t="s">
        <v>28</v>
      </c>
      <c r="I327" t="s">
        <v>65</v>
      </c>
      <c r="J327" t="s">
        <v>51</v>
      </c>
      <c r="K327" t="s">
        <v>66</v>
      </c>
    </row>
    <row r="328" spans="1:12" ht="15.75" hidden="1" customHeight="1" x14ac:dyDescent="0.15">
      <c r="A328" t="s">
        <v>1653</v>
      </c>
      <c r="B328" t="s">
        <v>1654</v>
      </c>
      <c r="C328" t="s">
        <v>1655</v>
      </c>
      <c r="D328" t="s">
        <v>1656</v>
      </c>
      <c r="E328" t="s">
        <v>1657</v>
      </c>
      <c r="F328" t="s">
        <v>27</v>
      </c>
      <c r="G328" t="s">
        <v>17</v>
      </c>
      <c r="H328" t="s">
        <v>28</v>
      </c>
      <c r="I328" t="s">
        <v>65</v>
      </c>
      <c r="J328" t="s">
        <v>51</v>
      </c>
      <c r="K328" t="s">
        <v>66</v>
      </c>
    </row>
    <row r="329" spans="1:12" ht="15.75" hidden="1" customHeight="1" x14ac:dyDescent="0.15">
      <c r="A329" t="s">
        <v>1668</v>
      </c>
      <c r="B329" t="s">
        <v>1669</v>
      </c>
      <c r="C329" t="s">
        <v>1670</v>
      </c>
      <c r="D329" t="s">
        <v>1671</v>
      </c>
      <c r="E329" t="s">
        <v>1672</v>
      </c>
      <c r="F329" t="s">
        <v>27</v>
      </c>
      <c r="G329" t="s">
        <v>17</v>
      </c>
      <c r="H329" t="s">
        <v>28</v>
      </c>
      <c r="I329" t="s">
        <v>65</v>
      </c>
      <c r="J329" t="s">
        <v>51</v>
      </c>
      <c r="K329" t="s">
        <v>66</v>
      </c>
    </row>
    <row r="330" spans="1:12" ht="15.75" hidden="1" customHeight="1" x14ac:dyDescent="0.15">
      <c r="A330" t="s">
        <v>1723</v>
      </c>
      <c r="B330" t="s">
        <v>1724</v>
      </c>
      <c r="C330" t="s">
        <v>1725</v>
      </c>
      <c r="D330" t="s">
        <v>1726</v>
      </c>
      <c r="E330" t="s">
        <v>1727</v>
      </c>
      <c r="F330" t="s">
        <v>27</v>
      </c>
      <c r="G330" t="s">
        <v>17</v>
      </c>
      <c r="H330" t="s">
        <v>28</v>
      </c>
      <c r="I330" t="s">
        <v>65</v>
      </c>
      <c r="J330" t="s">
        <v>51</v>
      </c>
      <c r="K330" t="s">
        <v>66</v>
      </c>
    </row>
    <row r="331" spans="1:12" ht="15.75" hidden="1" customHeight="1" x14ac:dyDescent="0.15">
      <c r="A331" t="s">
        <v>1820</v>
      </c>
      <c r="B331" t="s">
        <v>1821</v>
      </c>
      <c r="C331" t="s">
        <v>1822</v>
      </c>
      <c r="D331" t="s">
        <v>1823</v>
      </c>
      <c r="E331" t="s">
        <v>1824</v>
      </c>
      <c r="F331" t="s">
        <v>27</v>
      </c>
      <c r="G331" t="s">
        <v>17</v>
      </c>
      <c r="H331" t="s">
        <v>28</v>
      </c>
      <c r="I331" t="s">
        <v>65</v>
      </c>
      <c r="J331" t="s">
        <v>51</v>
      </c>
      <c r="K331" t="s">
        <v>66</v>
      </c>
    </row>
    <row r="332" spans="1:12" ht="15.75" customHeight="1" x14ac:dyDescent="0.15">
      <c r="A332" t="s">
        <v>816</v>
      </c>
      <c r="B332" t="s">
        <v>817</v>
      </c>
      <c r="C332" t="s">
        <v>818</v>
      </c>
      <c r="D332" t="s">
        <v>819</v>
      </c>
      <c r="E332" t="s">
        <v>820</v>
      </c>
      <c r="F332" t="s">
        <v>16</v>
      </c>
      <c r="G332" s="5" t="s">
        <v>17</v>
      </c>
      <c r="H332" t="s">
        <v>18</v>
      </c>
      <c r="I332" t="s">
        <v>29</v>
      </c>
      <c r="J332" t="s">
        <v>30</v>
      </c>
      <c r="K332" t="s">
        <v>21</v>
      </c>
      <c r="L332">
        <v>2</v>
      </c>
    </row>
    <row r="333" spans="1:12" ht="15.75" hidden="1" customHeight="1" x14ac:dyDescent="0.15">
      <c r="A333" t="s">
        <v>1860</v>
      </c>
      <c r="B333" t="s">
        <v>1861</v>
      </c>
      <c r="C333" t="s">
        <v>1862</v>
      </c>
      <c r="D333" t="s">
        <v>1863</v>
      </c>
      <c r="E333" t="s">
        <v>1864</v>
      </c>
      <c r="F333" t="s">
        <v>27</v>
      </c>
      <c r="G333" t="s">
        <v>17</v>
      </c>
      <c r="H333" t="s">
        <v>28</v>
      </c>
      <c r="I333" t="s">
        <v>65</v>
      </c>
      <c r="J333" t="s">
        <v>51</v>
      </c>
      <c r="K333" t="s">
        <v>66</v>
      </c>
    </row>
    <row r="334" spans="1:12" ht="15.75" hidden="1" customHeight="1" x14ac:dyDescent="0.15">
      <c r="A334" t="s">
        <v>1884</v>
      </c>
      <c r="B334" t="s">
        <v>1885</v>
      </c>
      <c r="C334" t="s">
        <v>1886</v>
      </c>
      <c r="D334" t="s">
        <v>1887</v>
      </c>
      <c r="E334" t="s">
        <v>1888</v>
      </c>
      <c r="F334" t="s">
        <v>27</v>
      </c>
      <c r="G334" t="s">
        <v>17</v>
      </c>
      <c r="H334" t="s">
        <v>28</v>
      </c>
      <c r="I334" t="s">
        <v>65</v>
      </c>
      <c r="J334" t="s">
        <v>51</v>
      </c>
      <c r="K334" t="s">
        <v>66</v>
      </c>
    </row>
    <row r="335" spans="1:12" ht="15.75" hidden="1" customHeight="1" x14ac:dyDescent="0.15">
      <c r="A335" t="s">
        <v>2296</v>
      </c>
      <c r="B335" t="s">
        <v>2297</v>
      </c>
      <c r="C335" t="s">
        <v>2298</v>
      </c>
      <c r="D335" t="s">
        <v>2299</v>
      </c>
      <c r="E335" t="s">
        <v>2300</v>
      </c>
      <c r="F335" t="s">
        <v>27</v>
      </c>
      <c r="G335" t="s">
        <v>17</v>
      </c>
      <c r="H335" t="s">
        <v>28</v>
      </c>
      <c r="I335" t="s">
        <v>19</v>
      </c>
      <c r="J335" t="s">
        <v>20</v>
      </c>
      <c r="K335" t="s">
        <v>21</v>
      </c>
    </row>
    <row r="336" spans="1:12" ht="15.75" hidden="1" customHeight="1" x14ac:dyDescent="0.15">
      <c r="A336" t="s">
        <v>1929</v>
      </c>
      <c r="B336" t="s">
        <v>1930</v>
      </c>
      <c r="C336" t="s">
        <v>1931</v>
      </c>
      <c r="D336" t="s">
        <v>1932</v>
      </c>
      <c r="E336" t="s">
        <v>1933</v>
      </c>
      <c r="F336" t="s">
        <v>27</v>
      </c>
      <c r="G336" t="s">
        <v>17</v>
      </c>
      <c r="H336" t="s">
        <v>28</v>
      </c>
      <c r="I336" t="s">
        <v>65</v>
      </c>
      <c r="J336" t="s">
        <v>51</v>
      </c>
      <c r="K336" t="s">
        <v>66</v>
      </c>
    </row>
    <row r="337" spans="1:12" ht="15.75" hidden="1" customHeight="1" x14ac:dyDescent="0.15">
      <c r="A337" t="s">
        <v>1939</v>
      </c>
      <c r="B337" t="s">
        <v>1940</v>
      </c>
      <c r="C337" t="s">
        <v>1941</v>
      </c>
      <c r="D337" t="s">
        <v>1942</v>
      </c>
      <c r="E337" t="s">
        <v>1943</v>
      </c>
      <c r="F337" t="s">
        <v>27</v>
      </c>
      <c r="G337" t="s">
        <v>17</v>
      </c>
      <c r="H337" t="s">
        <v>28</v>
      </c>
      <c r="I337" t="s">
        <v>65</v>
      </c>
      <c r="J337" t="s">
        <v>51</v>
      </c>
      <c r="K337" t="s">
        <v>66</v>
      </c>
    </row>
    <row r="338" spans="1:12" ht="15.75" hidden="1" customHeight="1" x14ac:dyDescent="0.15">
      <c r="A338" t="s">
        <v>2311</v>
      </c>
      <c r="B338" t="s">
        <v>2312</v>
      </c>
      <c r="C338" t="s">
        <v>2313</v>
      </c>
      <c r="D338" t="s">
        <v>2314</v>
      </c>
      <c r="E338" t="s">
        <v>2315</v>
      </c>
      <c r="F338" t="s">
        <v>27</v>
      </c>
      <c r="G338" t="s">
        <v>17</v>
      </c>
      <c r="H338" t="s">
        <v>28</v>
      </c>
      <c r="I338" t="s">
        <v>19</v>
      </c>
      <c r="J338" t="s">
        <v>20</v>
      </c>
      <c r="K338" t="s">
        <v>21</v>
      </c>
    </row>
    <row r="339" spans="1:12" ht="15.75" customHeight="1" x14ac:dyDescent="0.15">
      <c r="A339" t="s">
        <v>1404</v>
      </c>
      <c r="B339" t="s">
        <v>1405</v>
      </c>
      <c r="C339" t="s">
        <v>1406</v>
      </c>
      <c r="D339" t="s">
        <v>1407</v>
      </c>
      <c r="E339" t="s">
        <v>1408</v>
      </c>
      <c r="F339" t="s">
        <v>16</v>
      </c>
      <c r="G339" s="5" t="s">
        <v>17</v>
      </c>
      <c r="H339" t="s">
        <v>18</v>
      </c>
      <c r="I339" t="s">
        <v>29</v>
      </c>
      <c r="J339" t="s">
        <v>30</v>
      </c>
      <c r="K339" t="s">
        <v>21</v>
      </c>
      <c r="L339">
        <v>3</v>
      </c>
    </row>
    <row r="340" spans="1:12" ht="15.75" customHeight="1" x14ac:dyDescent="0.15">
      <c r="A340" t="s">
        <v>1503</v>
      </c>
      <c r="B340" t="s">
        <v>1504</v>
      </c>
      <c r="C340" t="s">
        <v>1505</v>
      </c>
      <c r="D340" t="s">
        <v>1506</v>
      </c>
      <c r="E340" t="s">
        <v>1507</v>
      </c>
      <c r="F340" t="s">
        <v>16</v>
      </c>
      <c r="G340" s="5" t="s">
        <v>17</v>
      </c>
      <c r="H340" t="s">
        <v>18</v>
      </c>
      <c r="I340" t="s">
        <v>29</v>
      </c>
      <c r="J340" t="s">
        <v>30</v>
      </c>
      <c r="K340" t="s">
        <v>21</v>
      </c>
      <c r="L340">
        <v>4</v>
      </c>
    </row>
    <row r="341" spans="1:12" ht="15.75" hidden="1" customHeight="1" x14ac:dyDescent="0.15">
      <c r="A341" t="s">
        <v>2359</v>
      </c>
      <c r="B341" t="s">
        <v>2360</v>
      </c>
      <c r="C341" t="s">
        <v>2361</v>
      </c>
      <c r="D341" t="s">
        <v>2362</v>
      </c>
      <c r="E341" t="s">
        <v>2363</v>
      </c>
      <c r="F341" t="s">
        <v>27</v>
      </c>
      <c r="G341" t="s">
        <v>17</v>
      </c>
      <c r="H341" t="s">
        <v>28</v>
      </c>
      <c r="I341" t="s">
        <v>19</v>
      </c>
      <c r="J341" t="s">
        <v>20</v>
      </c>
      <c r="K341" t="s">
        <v>21</v>
      </c>
    </row>
    <row r="342" spans="1:12" ht="15.75" hidden="1" customHeight="1" x14ac:dyDescent="0.15">
      <c r="A342" t="s">
        <v>1984</v>
      </c>
      <c r="B342" t="s">
        <v>1985</v>
      </c>
      <c r="C342" t="s">
        <v>1986</v>
      </c>
      <c r="D342" t="s">
        <v>1987</v>
      </c>
      <c r="E342" t="s">
        <v>1988</v>
      </c>
      <c r="F342" t="s">
        <v>27</v>
      </c>
      <c r="G342" t="s">
        <v>17</v>
      </c>
      <c r="H342" t="s">
        <v>28</v>
      </c>
      <c r="I342" t="s">
        <v>65</v>
      </c>
      <c r="J342" t="s">
        <v>51</v>
      </c>
      <c r="K342" t="s">
        <v>66</v>
      </c>
    </row>
    <row r="343" spans="1:12" ht="15.75" hidden="1" customHeight="1" x14ac:dyDescent="0.15">
      <c r="A343" t="s">
        <v>2389</v>
      </c>
      <c r="B343" t="s">
        <v>2390</v>
      </c>
      <c r="C343" t="s">
        <v>2391</v>
      </c>
      <c r="D343" t="s">
        <v>2392</v>
      </c>
      <c r="E343" t="s">
        <v>2393</v>
      </c>
      <c r="F343" t="s">
        <v>27</v>
      </c>
      <c r="G343" t="s">
        <v>17</v>
      </c>
      <c r="H343" t="s">
        <v>28</v>
      </c>
      <c r="I343" t="s">
        <v>19</v>
      </c>
      <c r="J343" t="s">
        <v>20</v>
      </c>
      <c r="K343" t="s">
        <v>21</v>
      </c>
    </row>
    <row r="344" spans="1:12" ht="15.75" customHeight="1" x14ac:dyDescent="0.15">
      <c r="A344" t="s">
        <v>1643</v>
      </c>
      <c r="B344" t="s">
        <v>1644</v>
      </c>
      <c r="C344" t="s">
        <v>1645</v>
      </c>
      <c r="D344" t="s">
        <v>1646</v>
      </c>
      <c r="E344" t="s">
        <v>1647</v>
      </c>
      <c r="F344" t="s">
        <v>16</v>
      </c>
      <c r="G344" s="5" t="s">
        <v>17</v>
      </c>
      <c r="H344" t="s">
        <v>18</v>
      </c>
      <c r="I344" t="s">
        <v>29</v>
      </c>
      <c r="J344" t="s">
        <v>30</v>
      </c>
      <c r="K344" t="s">
        <v>21</v>
      </c>
      <c r="L344">
        <v>5</v>
      </c>
    </row>
    <row r="345" spans="1:12" ht="15.75" hidden="1" customHeight="1" x14ac:dyDescent="0.15">
      <c r="A345" t="s">
        <v>1994</v>
      </c>
      <c r="B345" t="s">
        <v>1995</v>
      </c>
      <c r="C345" t="s">
        <v>1996</v>
      </c>
      <c r="D345" t="s">
        <v>1997</v>
      </c>
      <c r="E345" t="s">
        <v>1998</v>
      </c>
      <c r="F345" t="s">
        <v>27</v>
      </c>
      <c r="G345" t="s">
        <v>17</v>
      </c>
      <c r="H345" t="s">
        <v>28</v>
      </c>
      <c r="I345" t="s">
        <v>65</v>
      </c>
      <c r="J345" t="s">
        <v>51</v>
      </c>
      <c r="K345" t="s">
        <v>66</v>
      </c>
    </row>
    <row r="346" spans="1:12" ht="15.75" hidden="1" customHeight="1" x14ac:dyDescent="0.15">
      <c r="A346" t="s">
        <v>1999</v>
      </c>
      <c r="B346" t="s">
        <v>2000</v>
      </c>
      <c r="C346" t="s">
        <v>2001</v>
      </c>
      <c r="D346" t="s">
        <v>2002</v>
      </c>
      <c r="E346" t="s">
        <v>2003</v>
      </c>
      <c r="F346" t="s">
        <v>27</v>
      </c>
      <c r="G346" t="s">
        <v>17</v>
      </c>
      <c r="H346" t="s">
        <v>28</v>
      </c>
      <c r="I346" t="s">
        <v>65</v>
      </c>
      <c r="J346" t="s">
        <v>51</v>
      </c>
      <c r="K346" t="s">
        <v>66</v>
      </c>
    </row>
    <row r="347" spans="1:12" ht="15.75" customHeight="1" x14ac:dyDescent="0.15">
      <c r="A347" t="s">
        <v>2731</v>
      </c>
      <c r="B347" t="s">
        <v>2732</v>
      </c>
      <c r="C347" t="s">
        <v>2733</v>
      </c>
      <c r="D347" t="s">
        <v>2734</v>
      </c>
      <c r="E347" t="s">
        <v>2735</v>
      </c>
      <c r="F347" t="s">
        <v>16</v>
      </c>
      <c r="G347" t="s">
        <v>17</v>
      </c>
      <c r="H347" t="s">
        <v>2687</v>
      </c>
      <c r="I347" t="s">
        <v>43</v>
      </c>
      <c r="J347" t="s">
        <v>30</v>
      </c>
      <c r="K347" t="s">
        <v>44</v>
      </c>
      <c r="L347">
        <v>6</v>
      </c>
    </row>
    <row r="348" spans="1:12" ht="15.75" hidden="1" customHeight="1" x14ac:dyDescent="0.15">
      <c r="A348" t="s">
        <v>2423</v>
      </c>
      <c r="B348" t="s">
        <v>2424</v>
      </c>
      <c r="C348" t="s">
        <v>2425</v>
      </c>
      <c r="D348" t="s">
        <v>2426</v>
      </c>
      <c r="E348" t="s">
        <v>1442</v>
      </c>
      <c r="F348" t="s">
        <v>27</v>
      </c>
      <c r="G348" t="s">
        <v>17</v>
      </c>
      <c r="H348" t="s">
        <v>28</v>
      </c>
      <c r="I348" t="s">
        <v>19</v>
      </c>
      <c r="J348" t="s">
        <v>20</v>
      </c>
      <c r="K348" t="s">
        <v>21</v>
      </c>
    </row>
    <row r="349" spans="1:12" ht="15.75" customHeight="1" x14ac:dyDescent="0.15">
      <c r="A349" t="s">
        <v>2779</v>
      </c>
      <c r="B349" t="s">
        <v>2780</v>
      </c>
      <c r="C349" t="s">
        <v>2781</v>
      </c>
      <c r="D349" t="s">
        <v>2782</v>
      </c>
      <c r="E349" t="s">
        <v>2783</v>
      </c>
      <c r="F349" t="s">
        <v>16</v>
      </c>
      <c r="G349" t="s">
        <v>17</v>
      </c>
      <c r="H349" t="s">
        <v>2687</v>
      </c>
      <c r="I349" t="s">
        <v>43</v>
      </c>
      <c r="J349" t="s">
        <v>30</v>
      </c>
      <c r="K349" t="s">
        <v>44</v>
      </c>
      <c r="L349">
        <v>1</v>
      </c>
    </row>
    <row r="350" spans="1:12" ht="15.75" hidden="1" customHeight="1" x14ac:dyDescent="0.15">
      <c r="A350" t="s">
        <v>2437</v>
      </c>
      <c r="B350" t="s">
        <v>2438</v>
      </c>
      <c r="C350" t="s">
        <v>2439</v>
      </c>
      <c r="D350" t="s">
        <v>2440</v>
      </c>
      <c r="E350" t="s">
        <v>2441</v>
      </c>
      <c r="F350" t="s">
        <v>27</v>
      </c>
      <c r="G350" t="s">
        <v>17</v>
      </c>
      <c r="H350" t="s">
        <v>28</v>
      </c>
      <c r="I350" t="s">
        <v>19</v>
      </c>
      <c r="J350" t="s">
        <v>20</v>
      </c>
      <c r="K350" t="s">
        <v>21</v>
      </c>
    </row>
    <row r="351" spans="1:12" ht="15.75" hidden="1" customHeight="1" x14ac:dyDescent="0.15">
      <c r="A351" t="s">
        <v>2023</v>
      </c>
      <c r="B351" t="s">
        <v>2024</v>
      </c>
      <c r="C351" t="s">
        <v>2025</v>
      </c>
      <c r="D351" t="s">
        <v>2026</v>
      </c>
      <c r="E351" t="s">
        <v>2027</v>
      </c>
      <c r="F351" t="s">
        <v>27</v>
      </c>
      <c r="G351" t="s">
        <v>17</v>
      </c>
      <c r="H351" t="s">
        <v>28</v>
      </c>
      <c r="I351" t="s">
        <v>65</v>
      </c>
      <c r="J351" t="s">
        <v>51</v>
      </c>
      <c r="K351" t="s">
        <v>66</v>
      </c>
    </row>
    <row r="352" spans="1:12" ht="15.75" hidden="1" customHeight="1" x14ac:dyDescent="0.15">
      <c r="A352" t="s">
        <v>2028</v>
      </c>
      <c r="B352" t="s">
        <v>2029</v>
      </c>
      <c r="C352" t="s">
        <v>2030</v>
      </c>
      <c r="D352" t="s">
        <v>2031</v>
      </c>
      <c r="E352" t="s">
        <v>2032</v>
      </c>
      <c r="F352" t="s">
        <v>27</v>
      </c>
      <c r="G352" t="s">
        <v>17</v>
      </c>
      <c r="H352" t="s">
        <v>28</v>
      </c>
      <c r="I352" t="s">
        <v>65</v>
      </c>
      <c r="J352" t="s">
        <v>51</v>
      </c>
      <c r="K352" t="s">
        <v>66</v>
      </c>
    </row>
    <row r="353" spans="1:12" ht="15.75" hidden="1" customHeight="1" x14ac:dyDescent="0.15">
      <c r="A353" t="s">
        <v>2559</v>
      </c>
      <c r="B353" t="s">
        <v>2560</v>
      </c>
      <c r="C353" t="s">
        <v>2561</v>
      </c>
      <c r="D353" t="s">
        <v>2562</v>
      </c>
      <c r="E353" t="s">
        <v>2563</v>
      </c>
      <c r="F353" t="s">
        <v>27</v>
      </c>
      <c r="G353" t="s">
        <v>17</v>
      </c>
      <c r="H353" t="s">
        <v>28</v>
      </c>
      <c r="I353" t="s">
        <v>19</v>
      </c>
      <c r="J353" t="s">
        <v>20</v>
      </c>
      <c r="K353" t="s">
        <v>21</v>
      </c>
    </row>
    <row r="354" spans="1:12" ht="15.75" hidden="1" customHeight="1" x14ac:dyDescent="0.15">
      <c r="A354" t="s">
        <v>2574</v>
      </c>
      <c r="B354" t="s">
        <v>2575</v>
      </c>
      <c r="C354" t="s">
        <v>2576</v>
      </c>
      <c r="D354" t="s">
        <v>2577</v>
      </c>
      <c r="E354" t="s">
        <v>2578</v>
      </c>
      <c r="F354" t="s">
        <v>27</v>
      </c>
      <c r="G354" t="s">
        <v>17</v>
      </c>
      <c r="H354" t="s">
        <v>28</v>
      </c>
      <c r="I354" t="s">
        <v>19</v>
      </c>
      <c r="J354" t="s">
        <v>20</v>
      </c>
      <c r="K354" t="s">
        <v>21</v>
      </c>
    </row>
    <row r="355" spans="1:12" ht="15.75" hidden="1" customHeight="1" x14ac:dyDescent="0.15">
      <c r="A355" t="s">
        <v>2608</v>
      </c>
      <c r="B355" t="s">
        <v>2609</v>
      </c>
      <c r="C355" t="s">
        <v>2610</v>
      </c>
      <c r="D355" t="s">
        <v>2611</v>
      </c>
      <c r="E355" t="s">
        <v>2612</v>
      </c>
      <c r="F355" t="s">
        <v>27</v>
      </c>
      <c r="G355" t="s">
        <v>17</v>
      </c>
      <c r="H355" t="s">
        <v>28</v>
      </c>
      <c r="I355" t="s">
        <v>19</v>
      </c>
      <c r="J355" t="s">
        <v>20</v>
      </c>
      <c r="K355" t="s">
        <v>21</v>
      </c>
    </row>
    <row r="356" spans="1:12" ht="15.75" hidden="1" customHeight="1" x14ac:dyDescent="0.15">
      <c r="A356" t="s">
        <v>2033</v>
      </c>
      <c r="B356" t="s">
        <v>2034</v>
      </c>
      <c r="C356" t="s">
        <v>2035</v>
      </c>
      <c r="D356" t="s">
        <v>2036</v>
      </c>
      <c r="E356" t="s">
        <v>2037</v>
      </c>
      <c r="F356" t="s">
        <v>27</v>
      </c>
      <c r="G356" t="s">
        <v>17</v>
      </c>
      <c r="H356" t="s">
        <v>28</v>
      </c>
      <c r="I356" t="s">
        <v>65</v>
      </c>
      <c r="J356" t="s">
        <v>51</v>
      </c>
      <c r="K356" t="s">
        <v>66</v>
      </c>
    </row>
    <row r="357" spans="1:12" ht="15.75" hidden="1" customHeight="1" x14ac:dyDescent="0.15">
      <c r="A357" t="s">
        <v>2088</v>
      </c>
      <c r="B357" t="s">
        <v>2089</v>
      </c>
      <c r="C357" t="s">
        <v>2090</v>
      </c>
      <c r="D357" t="s">
        <v>2091</v>
      </c>
      <c r="E357" t="s">
        <v>2091</v>
      </c>
      <c r="F357" t="s">
        <v>27</v>
      </c>
      <c r="G357" t="s">
        <v>17</v>
      </c>
      <c r="H357" t="s">
        <v>28</v>
      </c>
      <c r="I357" t="s">
        <v>65</v>
      </c>
      <c r="J357" t="s">
        <v>51</v>
      </c>
      <c r="K357" t="s">
        <v>66</v>
      </c>
    </row>
    <row r="358" spans="1:12" ht="15.75" hidden="1" customHeight="1" x14ac:dyDescent="0.15">
      <c r="A358" t="s">
        <v>2613</v>
      </c>
      <c r="B358" t="s">
        <v>2614</v>
      </c>
      <c r="C358" t="s">
        <v>2615</v>
      </c>
      <c r="D358" t="s">
        <v>2616</v>
      </c>
      <c r="E358" t="s">
        <v>2617</v>
      </c>
      <c r="F358" t="s">
        <v>27</v>
      </c>
      <c r="G358" t="s">
        <v>17</v>
      </c>
      <c r="H358" t="s">
        <v>28</v>
      </c>
      <c r="I358" t="s">
        <v>19</v>
      </c>
      <c r="J358" t="s">
        <v>20</v>
      </c>
      <c r="K358" t="s">
        <v>21</v>
      </c>
    </row>
    <row r="359" spans="1:12" ht="15.75" hidden="1" customHeight="1" x14ac:dyDescent="0.15">
      <c r="A359" t="s">
        <v>2638</v>
      </c>
      <c r="B359" t="s">
        <v>2639</v>
      </c>
      <c r="C359" t="s">
        <v>2640</v>
      </c>
      <c r="D359" t="s">
        <v>2641</v>
      </c>
      <c r="E359" t="s">
        <v>2642</v>
      </c>
      <c r="F359" t="s">
        <v>27</v>
      </c>
      <c r="G359" t="s">
        <v>17</v>
      </c>
      <c r="H359" t="s">
        <v>28</v>
      </c>
      <c r="I359" t="s">
        <v>19</v>
      </c>
      <c r="J359" t="s">
        <v>20</v>
      </c>
      <c r="K359" t="s">
        <v>21</v>
      </c>
    </row>
    <row r="360" spans="1:12" ht="15.75" customHeight="1" x14ac:dyDescent="0.15">
      <c r="A360" t="s">
        <v>2814</v>
      </c>
      <c r="B360" t="s">
        <v>2815</v>
      </c>
      <c r="C360" t="s">
        <v>2816</v>
      </c>
      <c r="D360" t="s">
        <v>2817</v>
      </c>
      <c r="E360" t="s">
        <v>2818</v>
      </c>
      <c r="F360" t="s">
        <v>16</v>
      </c>
      <c r="G360" t="s">
        <v>17</v>
      </c>
      <c r="H360" t="s">
        <v>2687</v>
      </c>
      <c r="I360" t="s">
        <v>43</v>
      </c>
      <c r="J360" t="s">
        <v>30</v>
      </c>
      <c r="K360" t="s">
        <v>44</v>
      </c>
      <c r="L360">
        <v>3</v>
      </c>
    </row>
    <row r="361" spans="1:12" ht="15.75" customHeight="1" x14ac:dyDescent="0.15">
      <c r="A361" t="s">
        <v>2844</v>
      </c>
      <c r="B361" t="s">
        <v>2845</v>
      </c>
      <c r="C361" t="s">
        <v>2846</v>
      </c>
      <c r="D361" t="s">
        <v>2847</v>
      </c>
      <c r="E361" t="s">
        <v>2848</v>
      </c>
      <c r="F361" t="s">
        <v>16</v>
      </c>
      <c r="G361" t="s">
        <v>17</v>
      </c>
      <c r="H361" t="s">
        <v>2687</v>
      </c>
      <c r="I361" t="s">
        <v>43</v>
      </c>
      <c r="J361" t="s">
        <v>30</v>
      </c>
      <c r="K361" t="s">
        <v>44</v>
      </c>
      <c r="L361">
        <v>2</v>
      </c>
    </row>
    <row r="362" spans="1:12" ht="15.75" hidden="1" customHeight="1" x14ac:dyDescent="0.15">
      <c r="A362" t="s">
        <v>2097</v>
      </c>
      <c r="B362" t="s">
        <v>2098</v>
      </c>
      <c r="C362" t="s">
        <v>2099</v>
      </c>
      <c r="D362" t="s">
        <v>2100</v>
      </c>
      <c r="E362" t="s">
        <v>2101</v>
      </c>
      <c r="F362" t="s">
        <v>27</v>
      </c>
      <c r="G362" t="s">
        <v>17</v>
      </c>
      <c r="H362" t="s">
        <v>28</v>
      </c>
      <c r="I362" t="s">
        <v>65</v>
      </c>
      <c r="J362" t="s">
        <v>51</v>
      </c>
      <c r="K362" t="s">
        <v>66</v>
      </c>
    </row>
    <row r="363" spans="1:12" ht="15.75" hidden="1" customHeight="1" x14ac:dyDescent="0.15">
      <c r="A363" t="s">
        <v>2102</v>
      </c>
      <c r="B363" t="s">
        <v>2103</v>
      </c>
      <c r="C363" t="s">
        <v>2104</v>
      </c>
      <c r="D363" t="s">
        <v>2105</v>
      </c>
      <c r="E363" t="s">
        <v>2106</v>
      </c>
      <c r="F363" t="s">
        <v>27</v>
      </c>
      <c r="G363" t="s">
        <v>17</v>
      </c>
      <c r="H363" t="s">
        <v>28</v>
      </c>
      <c r="I363" t="s">
        <v>65</v>
      </c>
      <c r="J363" t="s">
        <v>51</v>
      </c>
      <c r="K363" t="s">
        <v>66</v>
      </c>
    </row>
    <row r="364" spans="1:12" ht="15.75" hidden="1" customHeight="1" x14ac:dyDescent="0.15">
      <c r="A364" t="s">
        <v>2648</v>
      </c>
      <c r="B364" t="s">
        <v>2649</v>
      </c>
      <c r="C364" t="s">
        <v>2650</v>
      </c>
      <c r="D364" t="s">
        <v>2651</v>
      </c>
      <c r="E364" t="s">
        <v>2652</v>
      </c>
      <c r="F364" t="s">
        <v>27</v>
      </c>
      <c r="G364" t="s">
        <v>17</v>
      </c>
      <c r="H364" t="s">
        <v>28</v>
      </c>
      <c r="I364" t="s">
        <v>19</v>
      </c>
      <c r="J364" t="s">
        <v>20</v>
      </c>
      <c r="K364" t="s">
        <v>21</v>
      </c>
    </row>
    <row r="365" spans="1:12" ht="15.75" hidden="1" customHeight="1" x14ac:dyDescent="0.15">
      <c r="A365" t="s">
        <v>2137</v>
      </c>
      <c r="B365" t="s">
        <v>2138</v>
      </c>
      <c r="C365" t="s">
        <v>2139</v>
      </c>
      <c r="D365" t="s">
        <v>2140</v>
      </c>
      <c r="E365" t="s">
        <v>2141</v>
      </c>
      <c r="F365" t="s">
        <v>27</v>
      </c>
      <c r="G365" t="s">
        <v>17</v>
      </c>
      <c r="H365" t="s">
        <v>28</v>
      </c>
      <c r="I365" t="s">
        <v>65</v>
      </c>
      <c r="J365" t="s">
        <v>51</v>
      </c>
      <c r="K365" t="s">
        <v>66</v>
      </c>
    </row>
    <row r="366" spans="1:12" ht="15.75" customHeight="1" x14ac:dyDescent="0.15">
      <c r="A366" t="s">
        <v>2864</v>
      </c>
      <c r="B366" t="s">
        <v>2865</v>
      </c>
      <c r="C366" t="s">
        <v>2866</v>
      </c>
      <c r="D366" t="s">
        <v>2867</v>
      </c>
      <c r="E366" t="s">
        <v>2868</v>
      </c>
      <c r="F366" t="s">
        <v>16</v>
      </c>
      <c r="G366" t="s">
        <v>17</v>
      </c>
      <c r="H366" t="s">
        <v>2687</v>
      </c>
      <c r="I366" t="s">
        <v>43</v>
      </c>
      <c r="J366" t="s">
        <v>30</v>
      </c>
      <c r="K366" t="s">
        <v>44</v>
      </c>
      <c r="L366">
        <v>4</v>
      </c>
    </row>
    <row r="367" spans="1:12" ht="15.75" hidden="1" customHeight="1" x14ac:dyDescent="0.15">
      <c r="A367" t="s">
        <v>2147</v>
      </c>
      <c r="B367" t="s">
        <v>2148</v>
      </c>
      <c r="C367" t="s">
        <v>2149</v>
      </c>
      <c r="D367" t="s">
        <v>2150</v>
      </c>
      <c r="E367" t="s">
        <v>2151</v>
      </c>
      <c r="F367" t="s">
        <v>27</v>
      </c>
      <c r="G367" t="s">
        <v>17</v>
      </c>
      <c r="H367" t="s">
        <v>28</v>
      </c>
      <c r="I367" t="s">
        <v>65</v>
      </c>
      <c r="J367" t="s">
        <v>51</v>
      </c>
      <c r="K367" t="s">
        <v>66</v>
      </c>
    </row>
    <row r="368" spans="1:12" ht="15.75" hidden="1" customHeight="1" x14ac:dyDescent="0.15">
      <c r="A368" t="s">
        <v>2242</v>
      </c>
      <c r="B368" t="s">
        <v>2243</v>
      </c>
      <c r="C368" t="s">
        <v>2244</v>
      </c>
      <c r="D368" t="s">
        <v>2245</v>
      </c>
      <c r="E368" t="s">
        <v>2246</v>
      </c>
      <c r="F368" t="s">
        <v>27</v>
      </c>
      <c r="G368" t="s">
        <v>17</v>
      </c>
      <c r="H368" t="s">
        <v>28</v>
      </c>
      <c r="I368" t="s">
        <v>65</v>
      </c>
      <c r="J368" t="s">
        <v>51</v>
      </c>
      <c r="K368" t="s">
        <v>66</v>
      </c>
    </row>
    <row r="369" spans="1:12" ht="15.75" hidden="1" customHeight="1" x14ac:dyDescent="0.15">
      <c r="A369" t="s">
        <v>2653</v>
      </c>
      <c r="B369" t="s">
        <v>2654</v>
      </c>
      <c r="C369" t="s">
        <v>2655</v>
      </c>
      <c r="D369" t="s">
        <v>2656</v>
      </c>
      <c r="E369" t="s">
        <v>2657</v>
      </c>
      <c r="F369" t="s">
        <v>27</v>
      </c>
      <c r="G369" t="s">
        <v>17</v>
      </c>
      <c r="H369" t="s">
        <v>28</v>
      </c>
      <c r="I369" t="s">
        <v>19</v>
      </c>
      <c r="J369" t="s">
        <v>20</v>
      </c>
      <c r="K369" t="s">
        <v>21</v>
      </c>
    </row>
    <row r="370" spans="1:12" ht="15.75" hidden="1" customHeight="1" x14ac:dyDescent="0.15">
      <c r="A370" t="s">
        <v>2301</v>
      </c>
      <c r="B370" t="s">
        <v>2302</v>
      </c>
      <c r="C370" t="s">
        <v>2303</v>
      </c>
      <c r="D370" t="s">
        <v>2304</v>
      </c>
      <c r="E370" t="s">
        <v>2305</v>
      </c>
      <c r="F370" t="s">
        <v>27</v>
      </c>
      <c r="G370" t="s">
        <v>17</v>
      </c>
      <c r="H370" t="s">
        <v>28</v>
      </c>
      <c r="I370" t="s">
        <v>65</v>
      </c>
      <c r="J370" t="s">
        <v>51</v>
      </c>
      <c r="K370" t="s">
        <v>66</v>
      </c>
    </row>
    <row r="371" spans="1:12" ht="15.75" hidden="1" customHeight="1" x14ac:dyDescent="0.15">
      <c r="A371" t="s">
        <v>2667</v>
      </c>
      <c r="B371" t="s">
        <v>2668</v>
      </c>
      <c r="C371" t="s">
        <v>2669</v>
      </c>
      <c r="D371" t="s">
        <v>2670</v>
      </c>
      <c r="E371" t="s">
        <v>2671</v>
      </c>
      <c r="F371" t="s">
        <v>27</v>
      </c>
      <c r="G371" t="s">
        <v>17</v>
      </c>
      <c r="H371" t="s">
        <v>28</v>
      </c>
      <c r="I371" t="s">
        <v>19</v>
      </c>
      <c r="J371" t="s">
        <v>20</v>
      </c>
      <c r="K371" t="s">
        <v>21</v>
      </c>
    </row>
    <row r="372" spans="1:12" ht="15.75" customHeight="1" x14ac:dyDescent="0.15">
      <c r="A372" t="s">
        <v>2893</v>
      </c>
      <c r="B372" t="s">
        <v>2894</v>
      </c>
      <c r="C372" t="s">
        <v>2895</v>
      </c>
      <c r="D372" t="s">
        <v>2896</v>
      </c>
      <c r="E372" t="s">
        <v>2868</v>
      </c>
      <c r="F372" t="s">
        <v>16</v>
      </c>
      <c r="G372" t="s">
        <v>17</v>
      </c>
      <c r="H372" t="s">
        <v>2687</v>
      </c>
      <c r="I372" t="s">
        <v>43</v>
      </c>
      <c r="J372" t="s">
        <v>30</v>
      </c>
      <c r="K372" t="s">
        <v>44</v>
      </c>
      <c r="L372">
        <v>5</v>
      </c>
    </row>
    <row r="373" spans="1:12" ht="15.75" hidden="1" customHeight="1" x14ac:dyDescent="0.15">
      <c r="A373" t="s">
        <v>2316</v>
      </c>
      <c r="B373" t="s">
        <v>2317</v>
      </c>
      <c r="C373" t="s">
        <v>2318</v>
      </c>
      <c r="D373" t="s">
        <v>2319</v>
      </c>
      <c r="E373" t="s">
        <v>2320</v>
      </c>
      <c r="F373" t="s">
        <v>27</v>
      </c>
      <c r="G373" t="s">
        <v>17</v>
      </c>
      <c r="H373" t="s">
        <v>28</v>
      </c>
      <c r="I373" t="s">
        <v>65</v>
      </c>
      <c r="J373" t="s">
        <v>51</v>
      </c>
      <c r="K373" t="s">
        <v>66</v>
      </c>
    </row>
    <row r="374" spans="1:12" ht="15.75" customHeight="1" x14ac:dyDescent="0.15">
      <c r="A374" s="1" t="s">
        <v>140</v>
      </c>
      <c r="B374" s="1" t="s">
        <v>141</v>
      </c>
      <c r="C374" s="1" t="s">
        <v>142</v>
      </c>
      <c r="D374" s="1" t="s">
        <v>143</v>
      </c>
      <c r="E374" s="1" t="s">
        <v>144</v>
      </c>
      <c r="F374" s="1" t="s">
        <v>16</v>
      </c>
      <c r="G374" s="1" t="s">
        <v>17</v>
      </c>
      <c r="H374" s="1" t="s">
        <v>124</v>
      </c>
      <c r="I374" s="1" t="s">
        <v>43</v>
      </c>
      <c r="J374" s="1" t="s">
        <v>30</v>
      </c>
      <c r="K374" s="1" t="s">
        <v>44</v>
      </c>
      <c r="L374">
        <v>1</v>
      </c>
    </row>
    <row r="375" spans="1:12" ht="15.75" hidden="1" customHeight="1" x14ac:dyDescent="0.15">
      <c r="A375" t="s">
        <v>2427</v>
      </c>
      <c r="B375" t="s">
        <v>2428</v>
      </c>
      <c r="C375" t="s">
        <v>2429</v>
      </c>
      <c r="D375" t="s">
        <v>2430</v>
      </c>
      <c r="E375" t="s">
        <v>2431</v>
      </c>
      <c r="F375" t="s">
        <v>27</v>
      </c>
      <c r="G375" t="s">
        <v>17</v>
      </c>
      <c r="H375" t="s">
        <v>28</v>
      </c>
      <c r="I375" t="s">
        <v>65</v>
      </c>
      <c r="J375" t="s">
        <v>51</v>
      </c>
      <c r="K375" t="s">
        <v>66</v>
      </c>
    </row>
    <row r="376" spans="1:12" ht="15.75" customHeight="1" x14ac:dyDescent="0.15">
      <c r="A376" t="s">
        <v>191</v>
      </c>
      <c r="B376" t="s">
        <v>192</v>
      </c>
      <c r="C376" t="s">
        <v>193</v>
      </c>
      <c r="D376" t="s">
        <v>194</v>
      </c>
      <c r="E376" t="s">
        <v>195</v>
      </c>
      <c r="F376" t="s">
        <v>16</v>
      </c>
      <c r="G376" t="s">
        <v>17</v>
      </c>
      <c r="H376" t="s">
        <v>124</v>
      </c>
      <c r="I376" t="s">
        <v>43</v>
      </c>
      <c r="J376" t="s">
        <v>30</v>
      </c>
      <c r="K376" t="s">
        <v>44</v>
      </c>
      <c r="L376">
        <v>2</v>
      </c>
    </row>
    <row r="377" spans="1:12" ht="15.75" hidden="1" customHeight="1" x14ac:dyDescent="0.15">
      <c r="A377" t="s">
        <v>2672</v>
      </c>
      <c r="B377" t="s">
        <v>2673</v>
      </c>
      <c r="C377" t="s">
        <v>2674</v>
      </c>
      <c r="D377" t="s">
        <v>2675</v>
      </c>
      <c r="E377" t="s">
        <v>2676</v>
      </c>
      <c r="F377" t="s">
        <v>27</v>
      </c>
      <c r="G377" t="s">
        <v>17</v>
      </c>
      <c r="H377" t="s">
        <v>28</v>
      </c>
      <c r="I377" t="s">
        <v>19</v>
      </c>
      <c r="J377" t="s">
        <v>20</v>
      </c>
      <c r="K377" t="s">
        <v>21</v>
      </c>
    </row>
    <row r="378" spans="1:12" ht="15.75" hidden="1" customHeight="1" x14ac:dyDescent="0.15">
      <c r="A378" t="s">
        <v>2682</v>
      </c>
      <c r="B378" t="s">
        <v>2683</v>
      </c>
      <c r="C378" t="s">
        <v>2684</v>
      </c>
      <c r="D378" t="s">
        <v>2685</v>
      </c>
      <c r="E378" t="s">
        <v>2686</v>
      </c>
      <c r="F378" t="s">
        <v>27</v>
      </c>
      <c r="G378" t="s">
        <v>17</v>
      </c>
      <c r="H378" t="s">
        <v>28</v>
      </c>
      <c r="I378" t="s">
        <v>19</v>
      </c>
      <c r="J378" t="s">
        <v>20</v>
      </c>
      <c r="K378" t="s">
        <v>21</v>
      </c>
    </row>
    <row r="379" spans="1:12" ht="15.75" customHeight="1" x14ac:dyDescent="0.15">
      <c r="A379" t="s">
        <v>791</v>
      </c>
      <c r="B379" t="s">
        <v>792</v>
      </c>
      <c r="C379" t="s">
        <v>793</v>
      </c>
      <c r="D379" t="s">
        <v>794</v>
      </c>
      <c r="E379" t="s">
        <v>795</v>
      </c>
      <c r="F379" t="s">
        <v>16</v>
      </c>
      <c r="G379" t="s">
        <v>17</v>
      </c>
      <c r="H379" t="s">
        <v>124</v>
      </c>
      <c r="I379" t="s">
        <v>43</v>
      </c>
      <c r="J379" t="s">
        <v>30</v>
      </c>
      <c r="K379" t="s">
        <v>44</v>
      </c>
      <c r="L379">
        <v>3</v>
      </c>
    </row>
    <row r="380" spans="1:12" ht="15.75" hidden="1" customHeight="1" x14ac:dyDescent="0.15">
      <c r="A380" t="s">
        <v>2471</v>
      </c>
      <c r="B380" t="s">
        <v>2472</v>
      </c>
      <c r="C380" t="s">
        <v>2473</v>
      </c>
      <c r="D380" t="s">
        <v>2474</v>
      </c>
      <c r="E380" t="s">
        <v>2475</v>
      </c>
      <c r="F380" t="s">
        <v>27</v>
      </c>
      <c r="G380" t="s">
        <v>17</v>
      </c>
      <c r="H380" t="s">
        <v>28</v>
      </c>
      <c r="I380" t="s">
        <v>65</v>
      </c>
      <c r="J380" t="s">
        <v>51</v>
      </c>
      <c r="K380" t="s">
        <v>66</v>
      </c>
    </row>
    <row r="381" spans="1:12" ht="15.75" hidden="1" customHeight="1" x14ac:dyDescent="0.15">
      <c r="A381" t="s">
        <v>2525</v>
      </c>
      <c r="B381" t="s">
        <v>2526</v>
      </c>
      <c r="C381" t="s">
        <v>2527</v>
      </c>
      <c r="D381" t="s">
        <v>2528</v>
      </c>
      <c r="E381" t="s">
        <v>2529</v>
      </c>
      <c r="F381" t="s">
        <v>27</v>
      </c>
      <c r="G381" t="s">
        <v>17</v>
      </c>
      <c r="H381" t="s">
        <v>28</v>
      </c>
      <c r="I381" t="s">
        <v>65</v>
      </c>
      <c r="J381" t="s">
        <v>51</v>
      </c>
      <c r="K381" t="s">
        <v>66</v>
      </c>
    </row>
    <row r="382" spans="1:12" ht="15.75" customHeight="1" x14ac:dyDescent="0.15">
      <c r="A382" t="s">
        <v>904</v>
      </c>
      <c r="B382" t="s">
        <v>905</v>
      </c>
      <c r="C382" t="s">
        <v>906</v>
      </c>
      <c r="D382" t="s">
        <v>907</v>
      </c>
      <c r="E382" t="s">
        <v>908</v>
      </c>
      <c r="F382" t="s">
        <v>16</v>
      </c>
      <c r="G382" t="s">
        <v>17</v>
      </c>
      <c r="H382" t="s">
        <v>124</v>
      </c>
      <c r="I382" t="s">
        <v>43</v>
      </c>
      <c r="J382" t="s">
        <v>30</v>
      </c>
      <c r="K382" t="s">
        <v>44</v>
      </c>
      <c r="L382">
        <v>4</v>
      </c>
    </row>
    <row r="383" spans="1:12" ht="15.75" hidden="1" customHeight="1" x14ac:dyDescent="0.15">
      <c r="A383" t="s">
        <v>2535</v>
      </c>
      <c r="B383" t="s">
        <v>2536</v>
      </c>
      <c r="C383" t="s">
        <v>2537</v>
      </c>
      <c r="D383" t="s">
        <v>2538</v>
      </c>
      <c r="E383" t="s">
        <v>1647</v>
      </c>
      <c r="F383" t="s">
        <v>27</v>
      </c>
      <c r="G383" t="s">
        <v>17</v>
      </c>
      <c r="H383" t="s">
        <v>28</v>
      </c>
      <c r="I383" t="s">
        <v>65</v>
      </c>
      <c r="J383" t="s">
        <v>51</v>
      </c>
      <c r="K383" t="s">
        <v>66</v>
      </c>
    </row>
    <row r="384" spans="1:12" ht="15.75" hidden="1" customHeight="1" x14ac:dyDescent="0.15">
      <c r="A384" t="s">
        <v>2539</v>
      </c>
      <c r="B384" t="s">
        <v>2540</v>
      </c>
      <c r="C384" t="s">
        <v>2541</v>
      </c>
      <c r="D384" t="s">
        <v>2542</v>
      </c>
      <c r="E384" t="s">
        <v>2543</v>
      </c>
      <c r="F384" t="s">
        <v>27</v>
      </c>
      <c r="G384" t="s">
        <v>17</v>
      </c>
      <c r="H384" t="s">
        <v>28</v>
      </c>
      <c r="I384" t="s">
        <v>65</v>
      </c>
      <c r="J384" t="s">
        <v>51</v>
      </c>
      <c r="K384" t="s">
        <v>66</v>
      </c>
    </row>
    <row r="385" spans="1:12" ht="15.75" customHeight="1" x14ac:dyDescent="0.15">
      <c r="A385" t="s">
        <v>1463</v>
      </c>
      <c r="B385" t="s">
        <v>1464</v>
      </c>
      <c r="C385" t="s">
        <v>1465</v>
      </c>
      <c r="D385" t="s">
        <v>1466</v>
      </c>
      <c r="E385" t="s">
        <v>1467</v>
      </c>
      <c r="F385" t="s">
        <v>16</v>
      </c>
      <c r="G385" t="s">
        <v>17</v>
      </c>
      <c r="H385" t="s">
        <v>124</v>
      </c>
      <c r="I385" t="s">
        <v>43</v>
      </c>
      <c r="J385" t="s">
        <v>30</v>
      </c>
      <c r="K385" t="s">
        <v>44</v>
      </c>
      <c r="L385">
        <v>5</v>
      </c>
    </row>
    <row r="386" spans="1:12" ht="15.75" hidden="1" customHeight="1" x14ac:dyDescent="0.15">
      <c r="A386" t="s">
        <v>2554</v>
      </c>
      <c r="B386" t="s">
        <v>2555</v>
      </c>
      <c r="C386" t="s">
        <v>2556</v>
      </c>
      <c r="D386" t="s">
        <v>2557</v>
      </c>
      <c r="E386" t="s">
        <v>2558</v>
      </c>
      <c r="F386" t="s">
        <v>27</v>
      </c>
      <c r="G386" t="s">
        <v>17</v>
      </c>
      <c r="H386" t="s">
        <v>28</v>
      </c>
      <c r="I386" t="s">
        <v>65</v>
      </c>
      <c r="J386" t="s">
        <v>51</v>
      </c>
      <c r="K386" t="s">
        <v>66</v>
      </c>
    </row>
    <row r="387" spans="1:12" ht="15.75" hidden="1" customHeight="1" x14ac:dyDescent="0.15">
      <c r="A387" t="s">
        <v>2584</v>
      </c>
      <c r="B387" t="s">
        <v>2585</v>
      </c>
      <c r="C387" t="s">
        <v>2586</v>
      </c>
      <c r="D387" t="s">
        <v>2587</v>
      </c>
      <c r="E387" t="s">
        <v>2588</v>
      </c>
      <c r="F387" t="s">
        <v>27</v>
      </c>
      <c r="G387" t="s">
        <v>17</v>
      </c>
      <c r="H387" t="s">
        <v>28</v>
      </c>
      <c r="I387" t="s">
        <v>65</v>
      </c>
      <c r="J387" t="s">
        <v>51</v>
      </c>
      <c r="K387" t="s">
        <v>66</v>
      </c>
    </row>
    <row r="388" spans="1:12" ht="15.75" customHeight="1" x14ac:dyDescent="0.15">
      <c r="A388" s="1" t="s">
        <v>37</v>
      </c>
      <c r="B388" s="1" t="s">
        <v>38</v>
      </c>
      <c r="C388" s="1" t="s">
        <v>39</v>
      </c>
      <c r="D388" s="1" t="s">
        <v>40</v>
      </c>
      <c r="E388" s="1" t="s">
        <v>41</v>
      </c>
      <c r="F388" s="1" t="s">
        <v>16</v>
      </c>
      <c r="G388" s="1" t="s">
        <v>17</v>
      </c>
      <c r="H388" s="1" t="s">
        <v>42</v>
      </c>
      <c r="I388" s="1" t="s">
        <v>43</v>
      </c>
      <c r="J388" s="1" t="s">
        <v>30</v>
      </c>
      <c r="K388" s="1" t="s">
        <v>44</v>
      </c>
      <c r="L388">
        <v>1</v>
      </c>
    </row>
    <row r="389" spans="1:12" ht="15.75" customHeight="1" x14ac:dyDescent="0.15">
      <c r="A389" t="s">
        <v>1264</v>
      </c>
      <c r="B389" t="s">
        <v>1265</v>
      </c>
      <c r="C389" t="s">
        <v>1266</v>
      </c>
      <c r="D389" t="s">
        <v>1267</v>
      </c>
      <c r="E389" t="s">
        <v>1268</v>
      </c>
      <c r="F389" t="s">
        <v>16</v>
      </c>
      <c r="G389" t="s">
        <v>17</v>
      </c>
      <c r="H389" t="s">
        <v>42</v>
      </c>
      <c r="I389" t="s">
        <v>43</v>
      </c>
      <c r="J389" t="s">
        <v>30</v>
      </c>
      <c r="K389" t="s">
        <v>44</v>
      </c>
      <c r="L389">
        <v>2</v>
      </c>
    </row>
    <row r="390" spans="1:12" ht="15.75" customHeight="1" x14ac:dyDescent="0.15">
      <c r="A390" t="s">
        <v>1329</v>
      </c>
      <c r="B390" t="s">
        <v>1330</v>
      </c>
      <c r="C390" t="s">
        <v>1331</v>
      </c>
      <c r="D390" t="s">
        <v>1332</v>
      </c>
      <c r="E390" t="s">
        <v>1333</v>
      </c>
      <c r="F390" t="s">
        <v>16</v>
      </c>
      <c r="G390" t="s">
        <v>17</v>
      </c>
      <c r="H390" t="s">
        <v>42</v>
      </c>
      <c r="I390" t="s">
        <v>43</v>
      </c>
      <c r="J390" t="s">
        <v>30</v>
      </c>
      <c r="K390" t="s">
        <v>44</v>
      </c>
      <c r="L390">
        <v>3</v>
      </c>
    </row>
    <row r="391" spans="1:12" ht="15.75" hidden="1" customHeight="1" x14ac:dyDescent="0.15">
      <c r="A391" s="1" t="s">
        <v>11</v>
      </c>
      <c r="B391" s="2" t="s">
        <v>12</v>
      </c>
      <c r="C391" s="1" t="s">
        <v>13</v>
      </c>
      <c r="D391" s="1" t="s">
        <v>14</v>
      </c>
      <c r="E391" s="1" t="s">
        <v>15</v>
      </c>
      <c r="F391" s="1" t="s">
        <v>16</v>
      </c>
      <c r="G391" s="9" t="s">
        <v>17</v>
      </c>
      <c r="H391" s="1" t="s">
        <v>18</v>
      </c>
      <c r="I391" s="1" t="s">
        <v>19</v>
      </c>
      <c r="J391" s="1" t="s">
        <v>20</v>
      </c>
      <c r="K391" s="1" t="s">
        <v>21</v>
      </c>
      <c r="L391">
        <v>1</v>
      </c>
    </row>
    <row r="392" spans="1:12" ht="15.75" hidden="1" customHeight="1" x14ac:dyDescent="0.15">
      <c r="A392" s="1" t="s">
        <v>135</v>
      </c>
      <c r="B392" s="1" t="s">
        <v>136</v>
      </c>
      <c r="C392" s="1" t="s">
        <v>137</v>
      </c>
      <c r="D392" s="1" t="s">
        <v>138</v>
      </c>
      <c r="E392" s="1" t="s">
        <v>139</v>
      </c>
      <c r="F392" s="1" t="s">
        <v>16</v>
      </c>
      <c r="G392" s="9" t="s">
        <v>17</v>
      </c>
      <c r="H392" s="1" t="s">
        <v>18</v>
      </c>
      <c r="I392" s="1" t="s">
        <v>19</v>
      </c>
      <c r="J392" s="1" t="s">
        <v>20</v>
      </c>
      <c r="K392" s="1" t="s">
        <v>21</v>
      </c>
      <c r="L392">
        <v>2</v>
      </c>
    </row>
    <row r="393" spans="1:12" ht="15.75" hidden="1" customHeight="1" x14ac:dyDescent="0.15">
      <c r="A393" t="s">
        <v>934</v>
      </c>
      <c r="B393" t="s">
        <v>935</v>
      </c>
      <c r="C393" t="s">
        <v>936</v>
      </c>
      <c r="D393" t="s">
        <v>937</v>
      </c>
      <c r="E393" t="s">
        <v>938</v>
      </c>
      <c r="F393" t="s">
        <v>16</v>
      </c>
      <c r="G393" s="5" t="s">
        <v>17</v>
      </c>
      <c r="H393" t="s">
        <v>18</v>
      </c>
      <c r="I393" t="s">
        <v>19</v>
      </c>
      <c r="J393" t="s">
        <v>20</v>
      </c>
      <c r="K393" t="s">
        <v>21</v>
      </c>
      <c r="L393">
        <v>3</v>
      </c>
    </row>
    <row r="394" spans="1:12" ht="15.75" hidden="1" customHeight="1" x14ac:dyDescent="0.15">
      <c r="A394" t="s">
        <v>1214</v>
      </c>
      <c r="B394" t="s">
        <v>1215</v>
      </c>
      <c r="C394" t="s">
        <v>1216</v>
      </c>
      <c r="D394" t="s">
        <v>1217</v>
      </c>
      <c r="E394" t="s">
        <v>1218</v>
      </c>
      <c r="F394" t="s">
        <v>16</v>
      </c>
      <c r="G394" s="5" t="s">
        <v>17</v>
      </c>
      <c r="H394" t="s">
        <v>18</v>
      </c>
      <c r="I394" t="s">
        <v>19</v>
      </c>
      <c r="J394" t="s">
        <v>20</v>
      </c>
      <c r="K394" t="s">
        <v>21</v>
      </c>
      <c r="L394">
        <v>4</v>
      </c>
    </row>
    <row r="395" spans="1:12" ht="15.75" hidden="1" customHeight="1" x14ac:dyDescent="0.15">
      <c r="A395" t="s">
        <v>2589</v>
      </c>
      <c r="B395" t="s">
        <v>2590</v>
      </c>
      <c r="C395" t="s">
        <v>2591</v>
      </c>
      <c r="D395" t="s">
        <v>2592</v>
      </c>
      <c r="E395" t="s">
        <v>2593</v>
      </c>
      <c r="F395" t="s">
        <v>27</v>
      </c>
      <c r="G395" t="s">
        <v>17</v>
      </c>
      <c r="H395" t="s">
        <v>28</v>
      </c>
      <c r="I395" t="s">
        <v>65</v>
      </c>
      <c r="J395" t="s">
        <v>51</v>
      </c>
      <c r="K395" t="s">
        <v>66</v>
      </c>
    </row>
    <row r="396" spans="1:12" ht="15.75" customHeight="1" x14ac:dyDescent="0.15">
      <c r="A396" t="s">
        <v>1424</v>
      </c>
      <c r="B396" t="s">
        <v>1425</v>
      </c>
      <c r="C396" t="s">
        <v>1426</v>
      </c>
      <c r="D396" t="s">
        <v>1427</v>
      </c>
      <c r="E396" t="s">
        <v>1428</v>
      </c>
      <c r="F396" t="s">
        <v>16</v>
      </c>
      <c r="G396" t="s">
        <v>17</v>
      </c>
      <c r="H396" t="s">
        <v>42</v>
      </c>
      <c r="I396" t="s">
        <v>43</v>
      </c>
      <c r="J396" t="s">
        <v>30</v>
      </c>
      <c r="K396" t="s">
        <v>44</v>
      </c>
      <c r="L396">
        <v>4</v>
      </c>
    </row>
    <row r="397" spans="1:12" ht="15.75" hidden="1" customHeight="1" x14ac:dyDescent="0.15">
      <c r="A397" t="s">
        <v>369</v>
      </c>
      <c r="B397" s="3" t="s">
        <v>370</v>
      </c>
      <c r="C397" t="s">
        <v>371</v>
      </c>
      <c r="D397" t="s">
        <v>372</v>
      </c>
      <c r="E397" t="s">
        <v>373</v>
      </c>
      <c r="F397" t="s">
        <v>16</v>
      </c>
      <c r="G397" s="5" t="s">
        <v>17</v>
      </c>
      <c r="H397" t="s">
        <v>18</v>
      </c>
      <c r="I397" t="s">
        <v>65</v>
      </c>
      <c r="J397" t="s">
        <v>51</v>
      </c>
      <c r="K397" t="s">
        <v>66</v>
      </c>
      <c r="L397">
        <v>1</v>
      </c>
    </row>
    <row r="398" spans="1:12" ht="15.75" hidden="1" customHeight="1" x14ac:dyDescent="0.15">
      <c r="A398" t="s">
        <v>1102</v>
      </c>
      <c r="B398" t="s">
        <v>1103</v>
      </c>
      <c r="C398" t="s">
        <v>1104</v>
      </c>
      <c r="D398" t="s">
        <v>1105</v>
      </c>
      <c r="E398" t="s">
        <v>1106</v>
      </c>
      <c r="F398" t="s">
        <v>16</v>
      </c>
      <c r="G398" s="5" t="s">
        <v>17</v>
      </c>
      <c r="H398" t="s">
        <v>18</v>
      </c>
      <c r="I398" t="s">
        <v>65</v>
      </c>
      <c r="J398" t="s">
        <v>51</v>
      </c>
      <c r="K398" t="s">
        <v>66</v>
      </c>
      <c r="L398">
        <v>2</v>
      </c>
    </row>
    <row r="399" spans="1:12" ht="15.75" customHeight="1" x14ac:dyDescent="0.15">
      <c r="A399" t="s">
        <v>1623</v>
      </c>
      <c r="B399" t="s">
        <v>1624</v>
      </c>
      <c r="C399" t="s">
        <v>1625</v>
      </c>
      <c r="D399" t="s">
        <v>1626</v>
      </c>
      <c r="E399" t="s">
        <v>1627</v>
      </c>
      <c r="F399" t="s">
        <v>16</v>
      </c>
      <c r="G399" t="s">
        <v>17</v>
      </c>
      <c r="H399" t="s">
        <v>42</v>
      </c>
      <c r="I399" t="s">
        <v>43</v>
      </c>
      <c r="J399" t="s">
        <v>30</v>
      </c>
      <c r="K399" t="s">
        <v>44</v>
      </c>
      <c r="L399">
        <v>5</v>
      </c>
    </row>
    <row r="400" spans="1:12" ht="15.75" customHeight="1" x14ac:dyDescent="0.15">
      <c r="A400" t="s">
        <v>255</v>
      </c>
      <c r="B400" t="s">
        <v>256</v>
      </c>
      <c r="C400" t="s">
        <v>257</v>
      </c>
      <c r="D400" t="s">
        <v>258</v>
      </c>
      <c r="E400" t="s">
        <v>259</v>
      </c>
      <c r="F400" t="s">
        <v>16</v>
      </c>
      <c r="G400" t="s">
        <v>17</v>
      </c>
      <c r="H400" t="s">
        <v>150</v>
      </c>
      <c r="I400" t="s">
        <v>43</v>
      </c>
      <c r="J400" t="s">
        <v>30</v>
      </c>
      <c r="K400" t="s">
        <v>44</v>
      </c>
      <c r="L400">
        <v>1</v>
      </c>
    </row>
    <row r="401" spans="1:12" ht="15.75" hidden="1" customHeight="1" x14ac:dyDescent="0.15">
      <c r="A401" t="s">
        <v>1374</v>
      </c>
      <c r="B401" t="s">
        <v>1375</v>
      </c>
      <c r="C401" t="s">
        <v>1376</v>
      </c>
      <c r="D401" t="s">
        <v>1377</v>
      </c>
      <c r="E401" t="s">
        <v>1378</v>
      </c>
      <c r="F401" t="s">
        <v>16</v>
      </c>
      <c r="G401" s="5" t="s">
        <v>17</v>
      </c>
      <c r="H401" t="s">
        <v>18</v>
      </c>
      <c r="I401" t="s">
        <v>65</v>
      </c>
      <c r="J401" t="s">
        <v>51</v>
      </c>
      <c r="K401" t="s">
        <v>66</v>
      </c>
      <c r="L401">
        <v>3</v>
      </c>
    </row>
    <row r="402" spans="1:12" ht="15.75" customHeight="1" x14ac:dyDescent="0.15">
      <c r="A402" t="s">
        <v>841</v>
      </c>
      <c r="B402" t="s">
        <v>842</v>
      </c>
      <c r="C402" t="s">
        <v>843</v>
      </c>
      <c r="D402" t="s">
        <v>844</v>
      </c>
      <c r="E402" t="s">
        <v>845</v>
      </c>
      <c r="F402" t="s">
        <v>16</v>
      </c>
      <c r="G402" t="s">
        <v>17</v>
      </c>
      <c r="H402" t="s">
        <v>150</v>
      </c>
      <c r="I402" t="s">
        <v>43</v>
      </c>
      <c r="J402" t="s">
        <v>30</v>
      </c>
      <c r="K402" t="s">
        <v>44</v>
      </c>
      <c r="L402">
        <v>2</v>
      </c>
    </row>
    <row r="403" spans="1:12" ht="15.75" hidden="1" customHeight="1" x14ac:dyDescent="0.15">
      <c r="A403" t="s">
        <v>1628</v>
      </c>
      <c r="B403" t="s">
        <v>1629</v>
      </c>
      <c r="C403" t="s">
        <v>1630</v>
      </c>
      <c r="D403" t="s">
        <v>1631</v>
      </c>
      <c r="E403" t="s">
        <v>1632</v>
      </c>
      <c r="F403" t="s">
        <v>16</v>
      </c>
      <c r="G403" s="5" t="s">
        <v>17</v>
      </c>
      <c r="H403" t="s">
        <v>18</v>
      </c>
      <c r="I403" t="s">
        <v>65</v>
      </c>
      <c r="J403" t="s">
        <v>51</v>
      </c>
      <c r="K403" t="s">
        <v>66</v>
      </c>
      <c r="L403">
        <v>4</v>
      </c>
    </row>
    <row r="404" spans="1:12" ht="15.75" hidden="1" customHeight="1" x14ac:dyDescent="0.15">
      <c r="A404" t="s">
        <v>1663</v>
      </c>
      <c r="B404" t="s">
        <v>1664</v>
      </c>
      <c r="C404" t="s">
        <v>1665</v>
      </c>
      <c r="D404" t="s">
        <v>1666</v>
      </c>
      <c r="E404" t="s">
        <v>1667</v>
      </c>
      <c r="F404" t="s">
        <v>16</v>
      </c>
      <c r="G404" s="5" t="s">
        <v>17</v>
      </c>
      <c r="H404" t="s">
        <v>18</v>
      </c>
      <c r="I404" t="s">
        <v>65</v>
      </c>
      <c r="J404" t="s">
        <v>51</v>
      </c>
      <c r="K404" t="s">
        <v>66</v>
      </c>
      <c r="L404">
        <v>5</v>
      </c>
    </row>
    <row r="405" spans="1:12" ht="15.75" hidden="1" customHeight="1" x14ac:dyDescent="0.15">
      <c r="A405" t="s">
        <v>2834</v>
      </c>
      <c r="B405" t="s">
        <v>2835</v>
      </c>
      <c r="C405" t="s">
        <v>2836</v>
      </c>
      <c r="D405" t="s">
        <v>2837</v>
      </c>
      <c r="E405" t="s">
        <v>2838</v>
      </c>
      <c r="F405" t="s">
        <v>16</v>
      </c>
      <c r="G405" t="s">
        <v>17</v>
      </c>
      <c r="H405" t="s">
        <v>2687</v>
      </c>
      <c r="I405" t="s">
        <v>58</v>
      </c>
      <c r="J405" t="s">
        <v>51</v>
      </c>
      <c r="K405" t="s">
        <v>59</v>
      </c>
      <c r="L405">
        <v>2</v>
      </c>
    </row>
    <row r="406" spans="1:12" ht="15.75" hidden="1" customHeight="1" x14ac:dyDescent="0.15">
      <c r="A406" t="s">
        <v>2839</v>
      </c>
      <c r="B406" t="s">
        <v>2840</v>
      </c>
      <c r="C406" t="s">
        <v>2841</v>
      </c>
      <c r="D406" t="s">
        <v>2842</v>
      </c>
      <c r="E406" t="s">
        <v>2843</v>
      </c>
      <c r="F406" t="s">
        <v>16</v>
      </c>
      <c r="G406" t="s">
        <v>17</v>
      </c>
      <c r="H406" t="s">
        <v>2687</v>
      </c>
      <c r="I406" t="s">
        <v>58</v>
      </c>
      <c r="J406" t="s">
        <v>51</v>
      </c>
      <c r="K406" t="s">
        <v>59</v>
      </c>
      <c r="L406">
        <v>3</v>
      </c>
    </row>
    <row r="407" spans="1:12" ht="15.75" hidden="1" customHeight="1" x14ac:dyDescent="0.15">
      <c r="A407" t="s">
        <v>1458</v>
      </c>
      <c r="B407" t="s">
        <v>1459</v>
      </c>
      <c r="C407" t="s">
        <v>1460</v>
      </c>
      <c r="D407" t="s">
        <v>1461</v>
      </c>
      <c r="E407" t="s">
        <v>1462</v>
      </c>
      <c r="F407" t="s">
        <v>16</v>
      </c>
      <c r="G407" s="5" t="s">
        <v>17</v>
      </c>
      <c r="H407" t="s">
        <v>18</v>
      </c>
      <c r="I407" t="s">
        <v>19</v>
      </c>
      <c r="J407" t="s">
        <v>20</v>
      </c>
      <c r="K407" t="s">
        <v>21</v>
      </c>
      <c r="L407">
        <v>5</v>
      </c>
    </row>
    <row r="408" spans="1:12" ht="15.75" hidden="1" customHeight="1" x14ac:dyDescent="0.15">
      <c r="A408" t="s">
        <v>2889</v>
      </c>
      <c r="B408" t="s">
        <v>2890</v>
      </c>
      <c r="C408" t="s">
        <v>2891</v>
      </c>
      <c r="D408" t="s">
        <v>2892</v>
      </c>
      <c r="E408" t="s">
        <v>651</v>
      </c>
      <c r="F408" t="s">
        <v>16</v>
      </c>
      <c r="G408" t="s">
        <v>17</v>
      </c>
      <c r="H408" t="s">
        <v>2687</v>
      </c>
      <c r="I408" t="s">
        <v>58</v>
      </c>
      <c r="J408" t="s">
        <v>51</v>
      </c>
      <c r="K408" t="s">
        <v>59</v>
      </c>
      <c r="L408">
        <v>4</v>
      </c>
    </row>
    <row r="409" spans="1:12" ht="15.75" customHeight="1" x14ac:dyDescent="0.15">
      <c r="A409" t="s">
        <v>890</v>
      </c>
      <c r="B409" t="s">
        <v>891</v>
      </c>
      <c r="C409" t="s">
        <v>892</v>
      </c>
      <c r="D409" t="s">
        <v>893</v>
      </c>
      <c r="E409" t="s">
        <v>894</v>
      </c>
      <c r="F409" t="s">
        <v>16</v>
      </c>
      <c r="G409" t="s">
        <v>17</v>
      </c>
      <c r="H409" t="s">
        <v>150</v>
      </c>
      <c r="I409" t="s">
        <v>43</v>
      </c>
      <c r="J409" t="s">
        <v>30</v>
      </c>
      <c r="K409" t="s">
        <v>44</v>
      </c>
      <c r="L409">
        <v>3</v>
      </c>
    </row>
    <row r="410" spans="1:12" ht="15.75" customHeight="1" x14ac:dyDescent="0.15">
      <c r="A410" t="s">
        <v>949</v>
      </c>
      <c r="B410" t="s">
        <v>950</v>
      </c>
      <c r="C410" t="s">
        <v>951</v>
      </c>
      <c r="D410" t="s">
        <v>952</v>
      </c>
      <c r="E410" t="s">
        <v>953</v>
      </c>
      <c r="F410" t="s">
        <v>16</v>
      </c>
      <c r="G410" t="s">
        <v>17</v>
      </c>
      <c r="H410" t="s">
        <v>150</v>
      </c>
      <c r="I410" t="s">
        <v>43</v>
      </c>
      <c r="J410" t="s">
        <v>30</v>
      </c>
      <c r="K410" t="s">
        <v>44</v>
      </c>
      <c r="L410">
        <v>4</v>
      </c>
    </row>
    <row r="411" spans="1:12" ht="15.75" hidden="1" customHeight="1" x14ac:dyDescent="0.15">
      <c r="A411" t="s">
        <v>2897</v>
      </c>
      <c r="B411" t="s">
        <v>2898</v>
      </c>
      <c r="C411" t="s">
        <v>2899</v>
      </c>
      <c r="D411" t="s">
        <v>2900</v>
      </c>
      <c r="E411" t="s">
        <v>2901</v>
      </c>
      <c r="F411" t="s">
        <v>16</v>
      </c>
      <c r="G411" t="s">
        <v>17</v>
      </c>
      <c r="H411" t="s">
        <v>2687</v>
      </c>
      <c r="I411" t="s">
        <v>58</v>
      </c>
      <c r="J411" t="s">
        <v>51</v>
      </c>
      <c r="K411" t="s">
        <v>59</v>
      </c>
      <c r="L411">
        <v>5</v>
      </c>
    </row>
    <row r="412" spans="1:12" ht="15.75" customHeight="1" x14ac:dyDescent="0.15">
      <c r="A412" t="s">
        <v>1648</v>
      </c>
      <c r="B412" t="s">
        <v>1649</v>
      </c>
      <c r="C412" t="s">
        <v>1650</v>
      </c>
      <c r="D412" t="s">
        <v>1651</v>
      </c>
      <c r="E412" t="s">
        <v>1652</v>
      </c>
      <c r="F412" t="s">
        <v>16</v>
      </c>
      <c r="G412" t="s">
        <v>17</v>
      </c>
      <c r="H412" t="s">
        <v>150</v>
      </c>
      <c r="I412" t="s">
        <v>43</v>
      </c>
      <c r="J412" t="s">
        <v>30</v>
      </c>
      <c r="K412" t="s">
        <v>44</v>
      </c>
      <c r="L412">
        <v>5</v>
      </c>
    </row>
    <row r="413" spans="1:12" ht="15.75" customHeight="1" x14ac:dyDescent="0.15">
      <c r="A413" t="s">
        <v>722</v>
      </c>
      <c r="B413" s="3" t="s">
        <v>723</v>
      </c>
      <c r="C413" t="s">
        <v>724</v>
      </c>
      <c r="D413" t="s">
        <v>725</v>
      </c>
      <c r="E413" t="s">
        <v>726</v>
      </c>
      <c r="F413" t="s">
        <v>16</v>
      </c>
      <c r="G413" t="s">
        <v>17</v>
      </c>
      <c r="H413" t="s">
        <v>36</v>
      </c>
      <c r="I413" t="s">
        <v>43</v>
      </c>
      <c r="J413" t="s">
        <v>30</v>
      </c>
      <c r="K413" t="s">
        <v>44</v>
      </c>
      <c r="L413">
        <v>2</v>
      </c>
    </row>
    <row r="414" spans="1:12" ht="15.75" customHeight="1" x14ac:dyDescent="0.15">
      <c r="A414" t="s">
        <v>756</v>
      </c>
      <c r="B414" t="s">
        <v>757</v>
      </c>
      <c r="C414" t="s">
        <v>758</v>
      </c>
      <c r="D414" t="s">
        <v>759</v>
      </c>
      <c r="E414" t="s">
        <v>760</v>
      </c>
      <c r="F414" t="s">
        <v>16</v>
      </c>
      <c r="G414" t="s">
        <v>17</v>
      </c>
      <c r="H414" t="s">
        <v>36</v>
      </c>
      <c r="I414" t="s">
        <v>43</v>
      </c>
      <c r="J414" t="s">
        <v>30</v>
      </c>
      <c r="K414" t="s">
        <v>44</v>
      </c>
      <c r="L414">
        <v>3</v>
      </c>
    </row>
    <row r="415" spans="1:12" ht="15.75" customHeight="1" x14ac:dyDescent="0.15">
      <c r="A415" t="s">
        <v>1289</v>
      </c>
      <c r="B415" t="s">
        <v>1290</v>
      </c>
      <c r="C415" t="s">
        <v>1291</v>
      </c>
      <c r="D415" t="s">
        <v>1292</v>
      </c>
      <c r="E415" t="s">
        <v>1293</v>
      </c>
      <c r="F415" t="s">
        <v>16</v>
      </c>
      <c r="G415" t="s">
        <v>17</v>
      </c>
      <c r="H415" t="s">
        <v>36</v>
      </c>
      <c r="I415" t="s">
        <v>43</v>
      </c>
      <c r="J415" t="s">
        <v>30</v>
      </c>
      <c r="K415" t="s">
        <v>44</v>
      </c>
      <c r="L415">
        <v>4</v>
      </c>
    </row>
    <row r="416" spans="1:12" ht="15.75" hidden="1" customHeight="1" x14ac:dyDescent="0.15">
      <c r="A416" t="s">
        <v>2902</v>
      </c>
      <c r="B416" t="s">
        <v>2903</v>
      </c>
      <c r="C416" t="s">
        <v>2904</v>
      </c>
      <c r="D416" t="s">
        <v>2905</v>
      </c>
      <c r="E416" t="s">
        <v>2906</v>
      </c>
      <c r="F416" t="s">
        <v>16</v>
      </c>
      <c r="G416" t="s">
        <v>17</v>
      </c>
      <c r="H416" t="s">
        <v>2687</v>
      </c>
      <c r="I416" t="s">
        <v>58</v>
      </c>
      <c r="J416" t="s">
        <v>51</v>
      </c>
      <c r="K416" t="s">
        <v>59</v>
      </c>
      <c r="L416">
        <v>6</v>
      </c>
    </row>
    <row r="417" spans="1:12" ht="15.75" customHeight="1" x14ac:dyDescent="0.15">
      <c r="A417" t="s">
        <v>1369</v>
      </c>
      <c r="B417" t="s">
        <v>1370</v>
      </c>
      <c r="C417" t="s">
        <v>1371</v>
      </c>
      <c r="D417" t="s">
        <v>1372</v>
      </c>
      <c r="E417" t="s">
        <v>1373</v>
      </c>
      <c r="F417" t="s">
        <v>16</v>
      </c>
      <c r="G417" t="s">
        <v>17</v>
      </c>
      <c r="H417" t="s">
        <v>36</v>
      </c>
      <c r="I417" t="s">
        <v>43</v>
      </c>
      <c r="J417" t="s">
        <v>30</v>
      </c>
      <c r="K417" t="s">
        <v>44</v>
      </c>
      <c r="L417">
        <v>5</v>
      </c>
    </row>
    <row r="418" spans="1:12" ht="15.75" hidden="1" customHeight="1" x14ac:dyDescent="0.15">
      <c r="A418" s="1" t="s">
        <v>119</v>
      </c>
      <c r="B418" s="1" t="s">
        <v>120</v>
      </c>
      <c r="C418" s="1" t="s">
        <v>121</v>
      </c>
      <c r="D418" s="1" t="s">
        <v>122</v>
      </c>
      <c r="E418" s="1" t="s">
        <v>123</v>
      </c>
      <c r="F418" s="1" t="s">
        <v>16</v>
      </c>
      <c r="G418" s="1" t="s">
        <v>17</v>
      </c>
      <c r="H418" s="1" t="s">
        <v>124</v>
      </c>
      <c r="I418" s="1" t="s">
        <v>58</v>
      </c>
      <c r="J418" s="1" t="s">
        <v>51</v>
      </c>
      <c r="K418" s="1" t="s">
        <v>59</v>
      </c>
      <c r="L418">
        <v>1</v>
      </c>
    </row>
    <row r="419" spans="1:12" ht="15.75" hidden="1" customHeight="1" x14ac:dyDescent="0.15">
      <c r="A419" t="s">
        <v>196</v>
      </c>
      <c r="B419" t="s">
        <v>197</v>
      </c>
      <c r="C419" t="s">
        <v>198</v>
      </c>
      <c r="D419" t="s">
        <v>199</v>
      </c>
      <c r="E419" t="s">
        <v>200</v>
      </c>
      <c r="F419" t="s">
        <v>16</v>
      </c>
      <c r="G419" t="s">
        <v>17</v>
      </c>
      <c r="H419" t="s">
        <v>124</v>
      </c>
      <c r="I419" t="s">
        <v>58</v>
      </c>
      <c r="J419" t="s">
        <v>51</v>
      </c>
      <c r="K419" t="s">
        <v>59</v>
      </c>
      <c r="L419">
        <v>2</v>
      </c>
    </row>
    <row r="420" spans="1:12" ht="15.75" customHeight="1" x14ac:dyDescent="0.15">
      <c r="A420" t="s">
        <v>285</v>
      </c>
      <c r="B420" t="s">
        <v>286</v>
      </c>
      <c r="C420" t="s">
        <v>287</v>
      </c>
      <c r="D420" t="s">
        <v>288</v>
      </c>
      <c r="E420" t="s">
        <v>289</v>
      </c>
      <c r="F420" t="s">
        <v>27</v>
      </c>
      <c r="G420" t="s">
        <v>17</v>
      </c>
      <c r="H420" t="s">
        <v>28</v>
      </c>
      <c r="I420" t="s">
        <v>43</v>
      </c>
      <c r="J420" t="s">
        <v>30</v>
      </c>
      <c r="K420" t="s">
        <v>44</v>
      </c>
    </row>
    <row r="421" spans="1:12" ht="15.75" hidden="1" customHeight="1" x14ac:dyDescent="0.15">
      <c r="A421" t="s">
        <v>2712</v>
      </c>
      <c r="B421" t="s">
        <v>2713</v>
      </c>
      <c r="C421" t="s">
        <v>2714</v>
      </c>
      <c r="D421" t="s">
        <v>2715</v>
      </c>
      <c r="E421" t="s">
        <v>2716</v>
      </c>
      <c r="F421" t="s">
        <v>16</v>
      </c>
      <c r="G421" t="s">
        <v>17</v>
      </c>
      <c r="H421" t="s">
        <v>2687</v>
      </c>
      <c r="I421" t="s">
        <v>87</v>
      </c>
      <c r="J421" t="s">
        <v>20</v>
      </c>
      <c r="K421" t="s">
        <v>44</v>
      </c>
      <c r="L421">
        <v>1</v>
      </c>
    </row>
    <row r="422" spans="1:12" ht="15.75" hidden="1" customHeight="1" x14ac:dyDescent="0.15">
      <c r="A422" t="s">
        <v>602</v>
      </c>
      <c r="B422" t="s">
        <v>603</v>
      </c>
      <c r="C422" t="s">
        <v>604</v>
      </c>
      <c r="D422" t="s">
        <v>605</v>
      </c>
      <c r="E422" t="s">
        <v>606</v>
      </c>
      <c r="F422" t="s">
        <v>16</v>
      </c>
      <c r="G422" t="s">
        <v>17</v>
      </c>
      <c r="H422" t="s">
        <v>124</v>
      </c>
      <c r="I422" t="s">
        <v>58</v>
      </c>
      <c r="J422" t="s">
        <v>51</v>
      </c>
      <c r="K422" t="s">
        <v>59</v>
      </c>
      <c r="L422">
        <v>3</v>
      </c>
    </row>
    <row r="423" spans="1:12" ht="15.75" hidden="1" customHeight="1" x14ac:dyDescent="0.15">
      <c r="A423" t="s">
        <v>2789</v>
      </c>
      <c r="B423" t="s">
        <v>2790</v>
      </c>
      <c r="C423" t="s">
        <v>2791</v>
      </c>
      <c r="D423" t="s">
        <v>2792</v>
      </c>
      <c r="E423" t="s">
        <v>2793</v>
      </c>
      <c r="F423" t="s">
        <v>16</v>
      </c>
      <c r="G423" t="s">
        <v>17</v>
      </c>
      <c r="H423" t="s">
        <v>2687</v>
      </c>
      <c r="I423" t="s">
        <v>87</v>
      </c>
      <c r="J423" t="s">
        <v>20</v>
      </c>
      <c r="K423" t="s">
        <v>44</v>
      </c>
      <c r="L423">
        <v>4</v>
      </c>
    </row>
    <row r="424" spans="1:12" ht="15.75" customHeight="1" x14ac:dyDescent="0.15">
      <c r="A424" t="s">
        <v>295</v>
      </c>
      <c r="B424" t="s">
        <v>296</v>
      </c>
      <c r="C424" t="s">
        <v>297</v>
      </c>
      <c r="D424" t="s">
        <v>298</v>
      </c>
      <c r="E424" t="s">
        <v>299</v>
      </c>
      <c r="F424" t="s">
        <v>27</v>
      </c>
      <c r="G424" t="s">
        <v>17</v>
      </c>
      <c r="H424" t="s">
        <v>28</v>
      </c>
      <c r="I424" t="s">
        <v>43</v>
      </c>
      <c r="J424" t="s">
        <v>30</v>
      </c>
      <c r="K424" t="s">
        <v>44</v>
      </c>
    </row>
    <row r="425" spans="1:12" ht="15.75" hidden="1" customHeight="1" x14ac:dyDescent="0.15">
      <c r="A425" t="s">
        <v>2794</v>
      </c>
      <c r="B425" t="s">
        <v>2795</v>
      </c>
      <c r="C425" t="s">
        <v>2796</v>
      </c>
      <c r="D425" t="s">
        <v>2797</v>
      </c>
      <c r="E425" t="s">
        <v>2798</v>
      </c>
      <c r="F425" t="s">
        <v>16</v>
      </c>
      <c r="G425" t="s">
        <v>17</v>
      </c>
      <c r="H425" t="s">
        <v>2687</v>
      </c>
      <c r="I425" t="s">
        <v>87</v>
      </c>
      <c r="J425" t="s">
        <v>20</v>
      </c>
      <c r="K425" t="s">
        <v>44</v>
      </c>
      <c r="L425">
        <v>2</v>
      </c>
    </row>
    <row r="426" spans="1:12" ht="15.75" hidden="1" customHeight="1" x14ac:dyDescent="0.15">
      <c r="A426" t="s">
        <v>880</v>
      </c>
      <c r="B426" t="s">
        <v>881</v>
      </c>
      <c r="C426" t="s">
        <v>882</v>
      </c>
      <c r="D426" t="s">
        <v>883</v>
      </c>
      <c r="E426" t="s">
        <v>884</v>
      </c>
      <c r="F426" t="s">
        <v>16</v>
      </c>
      <c r="G426" t="s">
        <v>17</v>
      </c>
      <c r="H426" t="s">
        <v>124</v>
      </c>
      <c r="I426" t="s">
        <v>58</v>
      </c>
      <c r="J426" t="s">
        <v>51</v>
      </c>
      <c r="K426" t="s">
        <v>59</v>
      </c>
      <c r="L426">
        <v>4</v>
      </c>
    </row>
    <row r="427" spans="1:12" ht="15.75" hidden="1" customHeight="1" x14ac:dyDescent="0.15">
      <c r="A427" t="s">
        <v>914</v>
      </c>
      <c r="B427" t="s">
        <v>915</v>
      </c>
      <c r="C427" t="s">
        <v>916</v>
      </c>
      <c r="D427" t="s">
        <v>917</v>
      </c>
      <c r="E427" t="s">
        <v>918</v>
      </c>
      <c r="F427" t="s">
        <v>16</v>
      </c>
      <c r="G427" t="s">
        <v>17</v>
      </c>
      <c r="H427" t="s">
        <v>124</v>
      </c>
      <c r="I427" t="s">
        <v>58</v>
      </c>
      <c r="J427" t="s">
        <v>51</v>
      </c>
      <c r="K427" t="s">
        <v>59</v>
      </c>
      <c r="L427">
        <v>5</v>
      </c>
    </row>
    <row r="428" spans="1:12" ht="15.75" hidden="1" customHeight="1" x14ac:dyDescent="0.15">
      <c r="A428" t="s">
        <v>231</v>
      </c>
      <c r="B428" t="s">
        <v>232</v>
      </c>
      <c r="C428" t="s">
        <v>233</v>
      </c>
      <c r="D428" t="s">
        <v>234</v>
      </c>
      <c r="E428" t="s">
        <v>234</v>
      </c>
      <c r="F428" t="s">
        <v>16</v>
      </c>
      <c r="G428" t="s">
        <v>17</v>
      </c>
      <c r="H428" t="s">
        <v>42</v>
      </c>
      <c r="I428" t="s">
        <v>58</v>
      </c>
      <c r="J428" t="s">
        <v>51</v>
      </c>
      <c r="K428" t="s">
        <v>59</v>
      </c>
      <c r="L428">
        <v>1</v>
      </c>
    </row>
    <row r="429" spans="1:12" ht="15.75" hidden="1" customHeight="1" x14ac:dyDescent="0.15">
      <c r="A429" t="s">
        <v>533</v>
      </c>
      <c r="B429" t="s">
        <v>534</v>
      </c>
      <c r="C429" t="s">
        <v>535</v>
      </c>
      <c r="D429" t="s">
        <v>536</v>
      </c>
      <c r="E429" t="s">
        <v>537</v>
      </c>
      <c r="F429" t="s">
        <v>16</v>
      </c>
      <c r="G429" t="s">
        <v>17</v>
      </c>
      <c r="H429" t="s">
        <v>42</v>
      </c>
      <c r="I429" t="s">
        <v>58</v>
      </c>
      <c r="J429" t="s">
        <v>51</v>
      </c>
      <c r="K429" t="s">
        <v>59</v>
      </c>
      <c r="L429">
        <v>2</v>
      </c>
    </row>
    <row r="430" spans="1:12" ht="15.75" hidden="1" customHeight="1" x14ac:dyDescent="0.15">
      <c r="A430" t="s">
        <v>597</v>
      </c>
      <c r="B430" t="s">
        <v>598</v>
      </c>
      <c r="C430" t="s">
        <v>599</v>
      </c>
      <c r="D430" t="s">
        <v>600</v>
      </c>
      <c r="E430" t="s">
        <v>601</v>
      </c>
      <c r="F430" t="s">
        <v>16</v>
      </c>
      <c r="G430" t="s">
        <v>17</v>
      </c>
      <c r="H430" t="s">
        <v>42</v>
      </c>
      <c r="I430" t="s">
        <v>58</v>
      </c>
      <c r="J430" t="s">
        <v>51</v>
      </c>
      <c r="K430" t="s">
        <v>59</v>
      </c>
      <c r="L430">
        <v>3</v>
      </c>
    </row>
    <row r="431" spans="1:12" ht="15.75" customHeight="1" x14ac:dyDescent="0.15">
      <c r="A431" t="s">
        <v>389</v>
      </c>
      <c r="B431" t="s">
        <v>390</v>
      </c>
      <c r="C431" t="s">
        <v>391</v>
      </c>
      <c r="D431" t="s">
        <v>392</v>
      </c>
      <c r="E431" t="s">
        <v>393</v>
      </c>
      <c r="F431" t="s">
        <v>27</v>
      </c>
      <c r="G431" t="s">
        <v>17</v>
      </c>
      <c r="H431" t="s">
        <v>28</v>
      </c>
      <c r="I431" t="s">
        <v>43</v>
      </c>
      <c r="J431" t="s">
        <v>30</v>
      </c>
      <c r="K431" t="s">
        <v>44</v>
      </c>
    </row>
    <row r="432" spans="1:12" ht="15.75" customHeight="1" x14ac:dyDescent="0.15">
      <c r="A432" t="s">
        <v>418</v>
      </c>
      <c r="B432" t="s">
        <v>419</v>
      </c>
      <c r="C432" t="s">
        <v>420</v>
      </c>
      <c r="D432" t="s">
        <v>421</v>
      </c>
      <c r="E432" t="s">
        <v>422</v>
      </c>
      <c r="F432" t="s">
        <v>27</v>
      </c>
      <c r="G432" t="s">
        <v>17</v>
      </c>
      <c r="H432" t="s">
        <v>28</v>
      </c>
      <c r="I432" t="s">
        <v>43</v>
      </c>
      <c r="J432" t="s">
        <v>30</v>
      </c>
      <c r="K432" t="s">
        <v>44</v>
      </c>
    </row>
    <row r="433" spans="1:12" ht="15.75" hidden="1" customHeight="1" x14ac:dyDescent="0.15">
      <c r="A433" t="s">
        <v>682</v>
      </c>
      <c r="B433" t="s">
        <v>683</v>
      </c>
      <c r="C433" t="s">
        <v>684</v>
      </c>
      <c r="D433" t="s">
        <v>685</v>
      </c>
      <c r="E433" t="s">
        <v>686</v>
      </c>
      <c r="F433" t="s">
        <v>16</v>
      </c>
      <c r="G433" t="s">
        <v>17</v>
      </c>
      <c r="H433" t="s">
        <v>42</v>
      </c>
      <c r="I433" t="s">
        <v>58</v>
      </c>
      <c r="J433" t="s">
        <v>51</v>
      </c>
      <c r="K433" t="s">
        <v>59</v>
      </c>
      <c r="L433">
        <v>4</v>
      </c>
    </row>
    <row r="434" spans="1:12" ht="15.75" customHeight="1" x14ac:dyDescent="0.15">
      <c r="A434" t="s">
        <v>443</v>
      </c>
      <c r="B434" t="s">
        <v>444</v>
      </c>
      <c r="C434" t="s">
        <v>445</v>
      </c>
      <c r="D434" t="s">
        <v>446</v>
      </c>
      <c r="E434" t="s">
        <v>447</v>
      </c>
      <c r="F434" t="s">
        <v>27</v>
      </c>
      <c r="G434" t="s">
        <v>17</v>
      </c>
      <c r="H434" t="s">
        <v>28</v>
      </c>
      <c r="I434" t="s">
        <v>43</v>
      </c>
      <c r="J434" t="s">
        <v>30</v>
      </c>
      <c r="K434" t="s">
        <v>44</v>
      </c>
    </row>
    <row r="435" spans="1:12" ht="15.75" hidden="1" customHeight="1" x14ac:dyDescent="0.15">
      <c r="A435" t="s">
        <v>2824</v>
      </c>
      <c r="B435" t="s">
        <v>2825</v>
      </c>
      <c r="C435" t="s">
        <v>2826</v>
      </c>
      <c r="D435" t="s">
        <v>2827</v>
      </c>
      <c r="E435" t="s">
        <v>2828</v>
      </c>
      <c r="F435" t="s">
        <v>16</v>
      </c>
      <c r="G435" t="s">
        <v>17</v>
      </c>
      <c r="H435" t="s">
        <v>2687</v>
      </c>
      <c r="I435" t="s">
        <v>87</v>
      </c>
      <c r="J435" t="s">
        <v>20</v>
      </c>
      <c r="K435" t="s">
        <v>44</v>
      </c>
      <c r="L435">
        <v>5</v>
      </c>
    </row>
    <row r="436" spans="1:12" ht="15.75" hidden="1" customHeight="1" x14ac:dyDescent="0.15">
      <c r="A436" t="s">
        <v>1394</v>
      </c>
      <c r="B436" t="s">
        <v>1395</v>
      </c>
      <c r="C436" t="s">
        <v>1396</v>
      </c>
      <c r="D436" t="s">
        <v>1397</v>
      </c>
      <c r="E436" t="s">
        <v>1398</v>
      </c>
      <c r="F436" t="s">
        <v>16</v>
      </c>
      <c r="G436" t="s">
        <v>17</v>
      </c>
      <c r="H436" t="s">
        <v>42</v>
      </c>
      <c r="I436" t="s">
        <v>58</v>
      </c>
      <c r="J436" t="s">
        <v>51</v>
      </c>
      <c r="K436" t="s">
        <v>59</v>
      </c>
      <c r="L436">
        <v>5</v>
      </c>
    </row>
    <row r="437" spans="1:12" ht="15.75" hidden="1" customHeight="1" x14ac:dyDescent="0.15">
      <c r="A437" t="s">
        <v>221</v>
      </c>
      <c r="B437" t="s">
        <v>222</v>
      </c>
      <c r="C437" t="s">
        <v>223</v>
      </c>
      <c r="D437" t="s">
        <v>224</v>
      </c>
      <c r="E437" t="s">
        <v>225</v>
      </c>
      <c r="F437" t="s">
        <v>16</v>
      </c>
      <c r="G437" t="s">
        <v>17</v>
      </c>
      <c r="H437" t="s">
        <v>150</v>
      </c>
      <c r="I437" t="s">
        <v>58</v>
      </c>
      <c r="J437" t="s">
        <v>51</v>
      </c>
      <c r="K437" t="s">
        <v>59</v>
      </c>
      <c r="L437">
        <v>1</v>
      </c>
    </row>
    <row r="438" spans="1:12" ht="15.75" hidden="1" customHeight="1" x14ac:dyDescent="0.15">
      <c r="A438" t="s">
        <v>885</v>
      </c>
      <c r="B438" t="s">
        <v>886</v>
      </c>
      <c r="C438" t="s">
        <v>887</v>
      </c>
      <c r="D438" t="s">
        <v>888</v>
      </c>
      <c r="E438" t="s">
        <v>889</v>
      </c>
      <c r="F438" t="s">
        <v>16</v>
      </c>
      <c r="G438" t="s">
        <v>17</v>
      </c>
      <c r="H438" t="s">
        <v>150</v>
      </c>
      <c r="I438" t="s">
        <v>58</v>
      </c>
      <c r="J438" t="s">
        <v>51</v>
      </c>
      <c r="K438" t="s">
        <v>59</v>
      </c>
      <c r="L438">
        <v>2</v>
      </c>
    </row>
    <row r="439" spans="1:12" ht="15.75" hidden="1" customHeight="1" x14ac:dyDescent="0.15">
      <c r="A439" t="s">
        <v>2859</v>
      </c>
      <c r="B439" t="s">
        <v>2860</v>
      </c>
      <c r="C439" t="s">
        <v>2861</v>
      </c>
      <c r="D439" t="s">
        <v>2862</v>
      </c>
      <c r="E439" t="s">
        <v>2863</v>
      </c>
      <c r="F439" t="s">
        <v>16</v>
      </c>
      <c r="G439" t="s">
        <v>17</v>
      </c>
      <c r="H439" t="s">
        <v>2687</v>
      </c>
      <c r="I439" t="s">
        <v>87</v>
      </c>
      <c r="J439" t="s">
        <v>20</v>
      </c>
      <c r="K439" t="s">
        <v>44</v>
      </c>
      <c r="L439">
        <v>3</v>
      </c>
    </row>
    <row r="440" spans="1:12" ht="15.75" hidden="1" customHeight="1" x14ac:dyDescent="0.15">
      <c r="A440" t="s">
        <v>969</v>
      </c>
      <c r="B440" t="s">
        <v>970</v>
      </c>
      <c r="C440" t="s">
        <v>971</v>
      </c>
      <c r="D440" t="s">
        <v>972</v>
      </c>
      <c r="E440" t="s">
        <v>973</v>
      </c>
      <c r="F440" t="s">
        <v>16</v>
      </c>
      <c r="G440" t="s">
        <v>17</v>
      </c>
      <c r="H440" t="s">
        <v>150</v>
      </c>
      <c r="I440" t="s">
        <v>58</v>
      </c>
      <c r="J440" t="s">
        <v>51</v>
      </c>
      <c r="K440" t="s">
        <v>59</v>
      </c>
      <c r="L440">
        <v>3</v>
      </c>
    </row>
    <row r="441" spans="1:12" ht="15.75" customHeight="1" x14ac:dyDescent="0.15">
      <c r="A441" t="s">
        <v>493</v>
      </c>
      <c r="B441" t="s">
        <v>494</v>
      </c>
      <c r="C441" t="s">
        <v>495</v>
      </c>
      <c r="D441" t="s">
        <v>496</v>
      </c>
      <c r="E441" t="s">
        <v>497</v>
      </c>
      <c r="F441" t="s">
        <v>27</v>
      </c>
      <c r="G441" t="s">
        <v>17</v>
      </c>
      <c r="H441" t="s">
        <v>28</v>
      </c>
      <c r="I441" t="s">
        <v>43</v>
      </c>
      <c r="J441" t="s">
        <v>30</v>
      </c>
      <c r="K441" t="s">
        <v>44</v>
      </c>
    </row>
    <row r="442" spans="1:12" ht="15.75" hidden="1" customHeight="1" x14ac:dyDescent="0.15">
      <c r="A442" t="s">
        <v>1029</v>
      </c>
      <c r="B442" t="s">
        <v>1030</v>
      </c>
      <c r="C442" t="s">
        <v>1031</v>
      </c>
      <c r="D442" t="s">
        <v>1032</v>
      </c>
      <c r="E442" t="s">
        <v>1033</v>
      </c>
      <c r="F442" t="s">
        <v>16</v>
      </c>
      <c r="G442" t="s">
        <v>17</v>
      </c>
      <c r="H442" t="s">
        <v>150</v>
      </c>
      <c r="I442" t="s">
        <v>58</v>
      </c>
      <c r="J442" t="s">
        <v>51</v>
      </c>
      <c r="K442" t="s">
        <v>59</v>
      </c>
      <c r="L442">
        <v>4</v>
      </c>
    </row>
    <row r="443" spans="1:12" ht="15.75" hidden="1" customHeight="1" x14ac:dyDescent="0.15">
      <c r="A443" t="s">
        <v>1453</v>
      </c>
      <c r="B443" t="s">
        <v>1454</v>
      </c>
      <c r="C443" t="s">
        <v>1455</v>
      </c>
      <c r="D443" t="s">
        <v>1456</v>
      </c>
      <c r="E443" t="s">
        <v>1457</v>
      </c>
      <c r="F443" t="s">
        <v>16</v>
      </c>
      <c r="G443" t="s">
        <v>17</v>
      </c>
      <c r="H443" t="s">
        <v>150</v>
      </c>
      <c r="I443" t="s">
        <v>58</v>
      </c>
      <c r="J443" t="s">
        <v>51</v>
      </c>
      <c r="K443" t="s">
        <v>59</v>
      </c>
      <c r="L443">
        <v>5</v>
      </c>
    </row>
    <row r="444" spans="1:12" ht="15.75" hidden="1" customHeight="1" x14ac:dyDescent="0.15">
      <c r="A444" t="s">
        <v>2879</v>
      </c>
      <c r="B444" t="s">
        <v>2880</v>
      </c>
      <c r="C444" t="s">
        <v>2881</v>
      </c>
      <c r="D444" t="s">
        <v>2882</v>
      </c>
      <c r="E444" t="s">
        <v>2883</v>
      </c>
      <c r="F444" t="s">
        <v>16</v>
      </c>
      <c r="G444" t="s">
        <v>17</v>
      </c>
      <c r="H444" t="s">
        <v>2687</v>
      </c>
      <c r="I444" t="s">
        <v>87</v>
      </c>
      <c r="J444" t="s">
        <v>20</v>
      </c>
      <c r="K444" t="s">
        <v>44</v>
      </c>
      <c r="L444">
        <v>6</v>
      </c>
    </row>
    <row r="445" spans="1:12" ht="15.75" customHeight="1" x14ac:dyDescent="0.15">
      <c r="A445" t="s">
        <v>538</v>
      </c>
      <c r="B445" t="s">
        <v>539</v>
      </c>
      <c r="C445" t="s">
        <v>540</v>
      </c>
      <c r="D445" t="s">
        <v>541</v>
      </c>
      <c r="E445" t="s">
        <v>542</v>
      </c>
      <c r="F445" t="s">
        <v>27</v>
      </c>
      <c r="G445" t="s">
        <v>17</v>
      </c>
      <c r="H445" t="s">
        <v>28</v>
      </c>
      <c r="I445" t="s">
        <v>43</v>
      </c>
      <c r="J445" t="s">
        <v>30</v>
      </c>
      <c r="K445" t="s">
        <v>44</v>
      </c>
    </row>
    <row r="446" spans="1:12" ht="15.75" customHeight="1" x14ac:dyDescent="0.15">
      <c r="A446" t="s">
        <v>568</v>
      </c>
      <c r="B446" t="s">
        <v>569</v>
      </c>
      <c r="C446" t="s">
        <v>570</v>
      </c>
      <c r="D446" t="s">
        <v>571</v>
      </c>
      <c r="E446" t="s">
        <v>572</v>
      </c>
      <c r="F446" t="s">
        <v>27</v>
      </c>
      <c r="G446" t="s">
        <v>17</v>
      </c>
      <c r="H446" t="s">
        <v>28</v>
      </c>
      <c r="I446" t="s">
        <v>43</v>
      </c>
      <c r="J446" t="s">
        <v>30</v>
      </c>
      <c r="K446" t="s">
        <v>44</v>
      </c>
    </row>
    <row r="447" spans="1:12" ht="15.75" hidden="1" customHeight="1" x14ac:dyDescent="0.15">
      <c r="A447" t="s">
        <v>518</v>
      </c>
      <c r="B447" t="s">
        <v>519</v>
      </c>
      <c r="C447" t="s">
        <v>520</v>
      </c>
      <c r="D447" t="s">
        <v>521</v>
      </c>
      <c r="E447" t="s">
        <v>522</v>
      </c>
      <c r="F447" t="s">
        <v>16</v>
      </c>
      <c r="G447" t="s">
        <v>17</v>
      </c>
      <c r="H447" t="s">
        <v>36</v>
      </c>
      <c r="I447" t="s">
        <v>58</v>
      </c>
      <c r="J447" t="s">
        <v>51</v>
      </c>
      <c r="K447" t="s">
        <v>59</v>
      </c>
      <c r="L447">
        <v>1</v>
      </c>
    </row>
    <row r="448" spans="1:12" ht="15.75" customHeight="1" x14ac:dyDescent="0.15">
      <c r="A448" t="s">
        <v>737</v>
      </c>
      <c r="B448" t="s">
        <v>738</v>
      </c>
      <c r="C448" t="s">
        <v>739</v>
      </c>
      <c r="D448" t="s">
        <v>740</v>
      </c>
      <c r="E448" t="s">
        <v>741</v>
      </c>
      <c r="F448" t="s">
        <v>27</v>
      </c>
      <c r="G448" t="s">
        <v>17</v>
      </c>
      <c r="H448" t="s">
        <v>28</v>
      </c>
      <c r="I448" t="s">
        <v>43</v>
      </c>
      <c r="J448" t="s">
        <v>30</v>
      </c>
      <c r="K448" t="s">
        <v>44</v>
      </c>
    </row>
    <row r="449" spans="1:12" ht="15.75" hidden="1" customHeight="1" x14ac:dyDescent="0.15">
      <c r="A449" t="s">
        <v>528</v>
      </c>
      <c r="B449" t="s">
        <v>529</v>
      </c>
      <c r="C449" t="s">
        <v>530</v>
      </c>
      <c r="D449" t="s">
        <v>531</v>
      </c>
      <c r="E449" t="s">
        <v>532</v>
      </c>
      <c r="F449" t="s">
        <v>16</v>
      </c>
      <c r="G449" t="s">
        <v>17</v>
      </c>
      <c r="H449" t="s">
        <v>36</v>
      </c>
      <c r="I449" t="s">
        <v>58</v>
      </c>
      <c r="J449" t="s">
        <v>51</v>
      </c>
      <c r="K449" t="s">
        <v>59</v>
      </c>
      <c r="L449">
        <v>2</v>
      </c>
    </row>
    <row r="450" spans="1:12" ht="15.75" customHeight="1" x14ac:dyDescent="0.15">
      <c r="A450" t="s">
        <v>751</v>
      </c>
      <c r="B450" t="s">
        <v>752</v>
      </c>
      <c r="C450" t="s">
        <v>753</v>
      </c>
      <c r="D450" t="s">
        <v>754</v>
      </c>
      <c r="E450" t="s">
        <v>755</v>
      </c>
      <c r="F450" t="s">
        <v>27</v>
      </c>
      <c r="G450" t="s">
        <v>17</v>
      </c>
      <c r="H450" t="s">
        <v>28</v>
      </c>
      <c r="I450" t="s">
        <v>43</v>
      </c>
      <c r="J450" t="s">
        <v>30</v>
      </c>
      <c r="K450" t="s">
        <v>44</v>
      </c>
    </row>
    <row r="451" spans="1:12" ht="15.75" hidden="1" customHeight="1" x14ac:dyDescent="0.15">
      <c r="A451" t="s">
        <v>548</v>
      </c>
      <c r="B451" t="s">
        <v>549</v>
      </c>
      <c r="C451" t="s">
        <v>550</v>
      </c>
      <c r="D451" t="s">
        <v>551</v>
      </c>
      <c r="E451" t="s">
        <v>552</v>
      </c>
      <c r="F451" t="s">
        <v>16</v>
      </c>
      <c r="G451" t="s">
        <v>17</v>
      </c>
      <c r="H451" t="s">
        <v>36</v>
      </c>
      <c r="I451" t="s">
        <v>58</v>
      </c>
      <c r="J451" t="s">
        <v>51</v>
      </c>
      <c r="K451" t="s">
        <v>59</v>
      </c>
      <c r="L451">
        <v>3</v>
      </c>
    </row>
    <row r="452" spans="1:12" ht="15.75" hidden="1" customHeight="1" x14ac:dyDescent="0.15">
      <c r="A452" t="s">
        <v>677</v>
      </c>
      <c r="B452" t="s">
        <v>678</v>
      </c>
      <c r="C452" t="s">
        <v>679</v>
      </c>
      <c r="D452" t="s">
        <v>680</v>
      </c>
      <c r="E452" t="s">
        <v>681</v>
      </c>
      <c r="F452" t="s">
        <v>16</v>
      </c>
      <c r="G452" t="s">
        <v>17</v>
      </c>
      <c r="H452" t="s">
        <v>36</v>
      </c>
      <c r="I452" t="s">
        <v>58</v>
      </c>
      <c r="J452" t="s">
        <v>51</v>
      </c>
      <c r="K452" t="s">
        <v>59</v>
      </c>
      <c r="L452">
        <v>4</v>
      </c>
    </row>
    <row r="453" spans="1:12" ht="15.75" hidden="1" customHeight="1" x14ac:dyDescent="0.15">
      <c r="A453" t="s">
        <v>1229</v>
      </c>
      <c r="B453" t="s">
        <v>1230</v>
      </c>
      <c r="C453" t="s">
        <v>1231</v>
      </c>
      <c r="D453" t="s">
        <v>1232</v>
      </c>
      <c r="E453" t="s">
        <v>1233</v>
      </c>
      <c r="F453" t="s">
        <v>16</v>
      </c>
      <c r="G453" t="s">
        <v>17</v>
      </c>
      <c r="H453" t="s">
        <v>36</v>
      </c>
      <c r="I453" t="s">
        <v>58</v>
      </c>
      <c r="J453" t="s">
        <v>51</v>
      </c>
      <c r="K453" t="s">
        <v>59</v>
      </c>
      <c r="L453">
        <v>5</v>
      </c>
    </row>
    <row r="454" spans="1:12" ht="15.75" hidden="1" customHeight="1" x14ac:dyDescent="0.15">
      <c r="A454" s="1" t="s">
        <v>72</v>
      </c>
      <c r="B454" s="1" t="s">
        <v>73</v>
      </c>
      <c r="C454" s="1" t="s">
        <v>74</v>
      </c>
      <c r="D454" s="1" t="s">
        <v>75</v>
      </c>
      <c r="E454" s="1" t="s">
        <v>76</v>
      </c>
      <c r="F454" s="1" t="s">
        <v>27</v>
      </c>
      <c r="G454" s="1" t="s">
        <v>17</v>
      </c>
      <c r="H454" s="1" t="s">
        <v>28</v>
      </c>
      <c r="I454" s="1" t="s">
        <v>58</v>
      </c>
      <c r="J454" s="1" t="s">
        <v>51</v>
      </c>
      <c r="K454" s="1" t="s">
        <v>59</v>
      </c>
    </row>
    <row r="455" spans="1:12" ht="15.75" hidden="1" customHeight="1" x14ac:dyDescent="0.15">
      <c r="A455" s="1" t="s">
        <v>103</v>
      </c>
      <c r="B455" s="1" t="s">
        <v>104</v>
      </c>
      <c r="C455" s="1" t="s">
        <v>105</v>
      </c>
      <c r="D455" s="1" t="s">
        <v>106</v>
      </c>
      <c r="E455" s="1" t="s">
        <v>107</v>
      </c>
      <c r="F455" s="1" t="s">
        <v>27</v>
      </c>
      <c r="G455" s="1" t="s">
        <v>17</v>
      </c>
      <c r="H455" s="1" t="s">
        <v>28</v>
      </c>
      <c r="I455" s="1" t="s">
        <v>58</v>
      </c>
      <c r="J455" s="1" t="s">
        <v>51</v>
      </c>
      <c r="K455" s="1" t="s">
        <v>59</v>
      </c>
    </row>
    <row r="456" spans="1:12" ht="15.75" customHeight="1" x14ac:dyDescent="0.15">
      <c r="A456" t="s">
        <v>860</v>
      </c>
      <c r="B456" t="s">
        <v>861</v>
      </c>
      <c r="C456" t="s">
        <v>862</v>
      </c>
      <c r="D456" t="s">
        <v>863</v>
      </c>
      <c r="E456" t="s">
        <v>864</v>
      </c>
      <c r="F456" t="s">
        <v>27</v>
      </c>
      <c r="G456" t="s">
        <v>17</v>
      </c>
      <c r="H456" t="s">
        <v>28</v>
      </c>
      <c r="I456" t="s">
        <v>43</v>
      </c>
      <c r="J456" t="s">
        <v>30</v>
      </c>
      <c r="K456" t="s">
        <v>44</v>
      </c>
    </row>
    <row r="457" spans="1:12" ht="15.75" hidden="1" customHeight="1" x14ac:dyDescent="0.15">
      <c r="A457" s="1" t="s">
        <v>161</v>
      </c>
      <c r="B457" s="1" t="s">
        <v>162</v>
      </c>
      <c r="C457" s="1" t="s">
        <v>163</v>
      </c>
      <c r="D457" s="1" t="s">
        <v>164</v>
      </c>
      <c r="E457" s="1" t="s">
        <v>165</v>
      </c>
      <c r="F457" s="1" t="s">
        <v>27</v>
      </c>
      <c r="G457" s="1" t="s">
        <v>17</v>
      </c>
      <c r="H457" s="1" t="s">
        <v>28</v>
      </c>
      <c r="I457" s="1" t="s">
        <v>58</v>
      </c>
      <c r="J457" s="1" t="s">
        <v>51</v>
      </c>
      <c r="K457" s="1" t="s">
        <v>59</v>
      </c>
    </row>
    <row r="458" spans="1:12" ht="15.75" hidden="1" customHeight="1" x14ac:dyDescent="0.15">
      <c r="A458" t="s">
        <v>290</v>
      </c>
      <c r="B458" t="s">
        <v>291</v>
      </c>
      <c r="C458" t="s">
        <v>292</v>
      </c>
      <c r="D458" t="s">
        <v>293</v>
      </c>
      <c r="E458" t="s">
        <v>294</v>
      </c>
      <c r="F458" t="s">
        <v>16</v>
      </c>
      <c r="G458" t="s">
        <v>17</v>
      </c>
      <c r="H458" t="s">
        <v>124</v>
      </c>
      <c r="I458" t="s">
        <v>87</v>
      </c>
      <c r="J458" t="s">
        <v>20</v>
      </c>
      <c r="K458" t="s">
        <v>44</v>
      </c>
      <c r="L458">
        <v>1</v>
      </c>
    </row>
    <row r="459" spans="1:12" ht="15.75" hidden="1" customHeight="1" x14ac:dyDescent="0.15">
      <c r="A459" t="s">
        <v>181</v>
      </c>
      <c r="B459" t="s">
        <v>182</v>
      </c>
      <c r="C459" t="s">
        <v>183</v>
      </c>
      <c r="D459" t="s">
        <v>184</v>
      </c>
      <c r="E459" t="s">
        <v>185</v>
      </c>
      <c r="F459" t="s">
        <v>27</v>
      </c>
      <c r="G459" t="s">
        <v>17</v>
      </c>
      <c r="H459" t="s">
        <v>28</v>
      </c>
      <c r="I459" t="s">
        <v>58</v>
      </c>
      <c r="J459" t="s">
        <v>51</v>
      </c>
      <c r="K459" t="s">
        <v>59</v>
      </c>
    </row>
    <row r="460" spans="1:12" ht="15.75" customHeight="1" x14ac:dyDescent="0.15">
      <c r="A460" t="s">
        <v>1136</v>
      </c>
      <c r="B460" t="s">
        <v>1137</v>
      </c>
      <c r="C460" t="s">
        <v>1138</v>
      </c>
      <c r="D460" t="s">
        <v>1139</v>
      </c>
      <c r="E460" t="s">
        <v>1140</v>
      </c>
      <c r="F460" t="s">
        <v>27</v>
      </c>
      <c r="G460" t="s">
        <v>17</v>
      </c>
      <c r="H460" t="s">
        <v>28</v>
      </c>
      <c r="I460" t="s">
        <v>43</v>
      </c>
      <c r="J460" t="s">
        <v>30</v>
      </c>
      <c r="K460" t="s">
        <v>44</v>
      </c>
    </row>
    <row r="461" spans="1:12" ht="15.75" hidden="1" customHeight="1" x14ac:dyDescent="0.15">
      <c r="A461" t="s">
        <v>513</v>
      </c>
      <c r="B461" t="s">
        <v>514</v>
      </c>
      <c r="C461" t="s">
        <v>515</v>
      </c>
      <c r="D461" t="s">
        <v>516</v>
      </c>
      <c r="E461" t="s">
        <v>517</v>
      </c>
      <c r="F461" t="s">
        <v>16</v>
      </c>
      <c r="G461" t="s">
        <v>17</v>
      </c>
      <c r="H461" t="s">
        <v>124</v>
      </c>
      <c r="I461" t="s">
        <v>87</v>
      </c>
      <c r="J461" t="s">
        <v>20</v>
      </c>
      <c r="K461" t="s">
        <v>44</v>
      </c>
      <c r="L461">
        <v>2</v>
      </c>
    </row>
    <row r="462" spans="1:12" ht="15.75" hidden="1" customHeight="1" x14ac:dyDescent="0.15">
      <c r="A462" t="s">
        <v>201</v>
      </c>
      <c r="B462" t="s">
        <v>202</v>
      </c>
      <c r="C462" t="s">
        <v>203</v>
      </c>
      <c r="D462" t="s">
        <v>204</v>
      </c>
      <c r="E462" t="s">
        <v>205</v>
      </c>
      <c r="F462" t="s">
        <v>27</v>
      </c>
      <c r="G462" t="s">
        <v>17</v>
      </c>
      <c r="H462" t="s">
        <v>28</v>
      </c>
      <c r="I462" t="s">
        <v>58</v>
      </c>
      <c r="J462" t="s">
        <v>51</v>
      </c>
      <c r="K462" t="s">
        <v>59</v>
      </c>
    </row>
    <row r="463" spans="1:12" ht="15.75" customHeight="1" x14ac:dyDescent="0.15">
      <c r="A463" t="s">
        <v>1224</v>
      </c>
      <c r="B463" t="s">
        <v>1225</v>
      </c>
      <c r="C463" t="s">
        <v>1226</v>
      </c>
      <c r="D463" t="s">
        <v>1227</v>
      </c>
      <c r="E463" t="s">
        <v>1228</v>
      </c>
      <c r="F463" t="s">
        <v>27</v>
      </c>
      <c r="G463" t="s">
        <v>17</v>
      </c>
      <c r="H463" t="s">
        <v>28</v>
      </c>
      <c r="I463" t="s">
        <v>43</v>
      </c>
      <c r="J463" t="s">
        <v>30</v>
      </c>
      <c r="K463" t="s">
        <v>44</v>
      </c>
    </row>
    <row r="464" spans="1:12" ht="15.75" hidden="1" customHeight="1" x14ac:dyDescent="0.15">
      <c r="A464" t="s">
        <v>226</v>
      </c>
      <c r="B464" t="s">
        <v>227</v>
      </c>
      <c r="C464" t="s">
        <v>228</v>
      </c>
      <c r="D464" t="s">
        <v>229</v>
      </c>
      <c r="E464" t="s">
        <v>230</v>
      </c>
      <c r="F464" t="s">
        <v>27</v>
      </c>
      <c r="G464" t="s">
        <v>17</v>
      </c>
      <c r="H464" t="s">
        <v>28</v>
      </c>
      <c r="I464" t="s">
        <v>58</v>
      </c>
      <c r="J464" t="s">
        <v>51</v>
      </c>
      <c r="K464" t="s">
        <v>59</v>
      </c>
    </row>
    <row r="465" spans="1:12" ht="15.75" customHeight="1" x14ac:dyDescent="0.15">
      <c r="A465" t="s">
        <v>1269</v>
      </c>
      <c r="B465" t="s">
        <v>1270</v>
      </c>
      <c r="C465" t="s">
        <v>1271</v>
      </c>
      <c r="D465" t="s">
        <v>1272</v>
      </c>
      <c r="E465" t="s">
        <v>1273</v>
      </c>
      <c r="F465" t="s">
        <v>27</v>
      </c>
      <c r="G465" t="s">
        <v>17</v>
      </c>
      <c r="H465" t="s">
        <v>28</v>
      </c>
      <c r="I465" t="s">
        <v>43</v>
      </c>
      <c r="J465" t="s">
        <v>30</v>
      </c>
      <c r="K465" t="s">
        <v>44</v>
      </c>
    </row>
    <row r="466" spans="1:12" ht="15.75" customHeight="1" x14ac:dyDescent="0.15">
      <c r="A466" t="s">
        <v>1274</v>
      </c>
      <c r="B466" t="s">
        <v>1275</v>
      </c>
      <c r="C466" t="s">
        <v>1276</v>
      </c>
      <c r="D466" t="s">
        <v>1277</v>
      </c>
      <c r="E466" t="s">
        <v>1278</v>
      </c>
      <c r="F466" t="s">
        <v>27</v>
      </c>
      <c r="G466" t="s">
        <v>17</v>
      </c>
      <c r="H466" t="s">
        <v>28</v>
      </c>
      <c r="I466" t="s">
        <v>43</v>
      </c>
      <c r="J466" t="s">
        <v>30</v>
      </c>
      <c r="K466" t="s">
        <v>44</v>
      </c>
    </row>
    <row r="467" spans="1:12" ht="15.75" customHeight="1" x14ac:dyDescent="0.15">
      <c r="A467" t="s">
        <v>1339</v>
      </c>
      <c r="B467" t="s">
        <v>1340</v>
      </c>
      <c r="C467" t="s">
        <v>1341</v>
      </c>
      <c r="D467" t="s">
        <v>1342</v>
      </c>
      <c r="E467" t="s">
        <v>1343</v>
      </c>
      <c r="F467" t="s">
        <v>27</v>
      </c>
      <c r="G467" t="s">
        <v>17</v>
      </c>
      <c r="H467" t="s">
        <v>28</v>
      </c>
      <c r="I467" t="s">
        <v>43</v>
      </c>
      <c r="J467" t="s">
        <v>30</v>
      </c>
      <c r="K467" t="s">
        <v>44</v>
      </c>
    </row>
    <row r="468" spans="1:12" ht="15.75" hidden="1" customHeight="1" x14ac:dyDescent="0.15">
      <c r="A468" t="s">
        <v>270</v>
      </c>
      <c r="B468" t="s">
        <v>271</v>
      </c>
      <c r="C468" t="s">
        <v>272</v>
      </c>
      <c r="D468" t="s">
        <v>273</v>
      </c>
      <c r="E468" t="s">
        <v>274</v>
      </c>
      <c r="F468" t="s">
        <v>27</v>
      </c>
      <c r="G468" t="s">
        <v>17</v>
      </c>
      <c r="H468" t="s">
        <v>28</v>
      </c>
      <c r="I468" t="s">
        <v>58</v>
      </c>
      <c r="J468" t="s">
        <v>51</v>
      </c>
      <c r="K468" t="s">
        <v>59</v>
      </c>
    </row>
    <row r="469" spans="1:12" ht="15.75" customHeight="1" x14ac:dyDescent="0.15">
      <c r="A469" t="s">
        <v>1344</v>
      </c>
      <c r="B469" t="s">
        <v>1345</v>
      </c>
      <c r="C469" t="s">
        <v>1346</v>
      </c>
      <c r="D469" t="s">
        <v>1347</v>
      </c>
      <c r="E469" t="s">
        <v>1348</v>
      </c>
      <c r="F469" t="s">
        <v>27</v>
      </c>
      <c r="G469" t="s">
        <v>17</v>
      </c>
      <c r="H469" t="s">
        <v>28</v>
      </c>
      <c r="I469" t="s">
        <v>43</v>
      </c>
      <c r="J469" t="s">
        <v>30</v>
      </c>
      <c r="K469" t="s">
        <v>44</v>
      </c>
    </row>
    <row r="470" spans="1:12" ht="15.75" customHeight="1" x14ac:dyDescent="0.15">
      <c r="A470" t="s">
        <v>1379</v>
      </c>
      <c r="B470" t="s">
        <v>1380</v>
      </c>
      <c r="C470" t="s">
        <v>1381</v>
      </c>
      <c r="D470" t="s">
        <v>1382</v>
      </c>
      <c r="E470" t="s">
        <v>1383</v>
      </c>
      <c r="F470" t="s">
        <v>27</v>
      </c>
      <c r="G470" t="s">
        <v>17</v>
      </c>
      <c r="H470" t="s">
        <v>28</v>
      </c>
      <c r="I470" t="s">
        <v>43</v>
      </c>
      <c r="J470" t="s">
        <v>30</v>
      </c>
      <c r="K470" t="s">
        <v>44</v>
      </c>
    </row>
    <row r="471" spans="1:12" ht="15.75" hidden="1" customHeight="1" x14ac:dyDescent="0.15">
      <c r="A471" t="s">
        <v>612</v>
      </c>
      <c r="B471" t="s">
        <v>613</v>
      </c>
      <c r="C471" t="s">
        <v>614</v>
      </c>
      <c r="D471" t="s">
        <v>615</v>
      </c>
      <c r="E471" t="s">
        <v>616</v>
      </c>
      <c r="F471" t="s">
        <v>16</v>
      </c>
      <c r="G471" t="s">
        <v>17</v>
      </c>
      <c r="H471" t="s">
        <v>124</v>
      </c>
      <c r="I471" t="s">
        <v>87</v>
      </c>
      <c r="J471" t="s">
        <v>20</v>
      </c>
      <c r="K471" t="s">
        <v>44</v>
      </c>
      <c r="L471">
        <v>3</v>
      </c>
    </row>
    <row r="472" spans="1:12" ht="15.75" hidden="1" customHeight="1" x14ac:dyDescent="0.15">
      <c r="A472" t="s">
        <v>305</v>
      </c>
      <c r="B472" t="s">
        <v>306</v>
      </c>
      <c r="C472" t="s">
        <v>307</v>
      </c>
      <c r="D472" t="s">
        <v>308</v>
      </c>
      <c r="E472" t="s">
        <v>309</v>
      </c>
      <c r="F472" t="s">
        <v>27</v>
      </c>
      <c r="G472" t="s">
        <v>17</v>
      </c>
      <c r="H472" t="s">
        <v>28</v>
      </c>
      <c r="I472" t="s">
        <v>58</v>
      </c>
      <c r="J472" t="s">
        <v>51</v>
      </c>
      <c r="K472" t="s">
        <v>59</v>
      </c>
    </row>
    <row r="473" spans="1:12" ht="15.75" hidden="1" customHeight="1" x14ac:dyDescent="0.15">
      <c r="A473" t="s">
        <v>403</v>
      </c>
      <c r="B473" t="s">
        <v>404</v>
      </c>
      <c r="C473" t="s">
        <v>405</v>
      </c>
      <c r="D473" t="s">
        <v>406</v>
      </c>
      <c r="E473" t="s">
        <v>407</v>
      </c>
      <c r="F473" t="s">
        <v>27</v>
      </c>
      <c r="G473" t="s">
        <v>17</v>
      </c>
      <c r="H473" t="s">
        <v>28</v>
      </c>
      <c r="I473" t="s">
        <v>58</v>
      </c>
      <c r="J473" t="s">
        <v>51</v>
      </c>
      <c r="K473" t="s">
        <v>59</v>
      </c>
    </row>
    <row r="474" spans="1:12" ht="15.75" customHeight="1" x14ac:dyDescent="0.15">
      <c r="A474" t="s">
        <v>1488</v>
      </c>
      <c r="B474" t="s">
        <v>1489</v>
      </c>
      <c r="C474" t="s">
        <v>1490</v>
      </c>
      <c r="D474" t="s">
        <v>1491</v>
      </c>
      <c r="E474" t="s">
        <v>1492</v>
      </c>
      <c r="F474" t="s">
        <v>27</v>
      </c>
      <c r="G474" t="s">
        <v>17</v>
      </c>
      <c r="H474" t="s">
        <v>28</v>
      </c>
      <c r="I474" t="s">
        <v>43</v>
      </c>
      <c r="J474" t="s">
        <v>30</v>
      </c>
      <c r="K474" t="s">
        <v>44</v>
      </c>
    </row>
    <row r="475" spans="1:12" ht="15.75" hidden="1" customHeight="1" x14ac:dyDescent="0.15">
      <c r="A475" t="s">
        <v>408</v>
      </c>
      <c r="B475" t="s">
        <v>409</v>
      </c>
      <c r="C475" t="s">
        <v>410</v>
      </c>
      <c r="D475" t="s">
        <v>411</v>
      </c>
      <c r="E475" t="s">
        <v>412</v>
      </c>
      <c r="F475" t="s">
        <v>27</v>
      </c>
      <c r="G475" t="s">
        <v>17</v>
      </c>
      <c r="H475" t="s">
        <v>28</v>
      </c>
      <c r="I475" t="s">
        <v>58</v>
      </c>
      <c r="J475" t="s">
        <v>51</v>
      </c>
      <c r="K475" t="s">
        <v>59</v>
      </c>
    </row>
    <row r="476" spans="1:12" ht="15.75" customHeight="1" x14ac:dyDescent="0.15">
      <c r="A476" t="s">
        <v>1523</v>
      </c>
      <c r="B476" t="s">
        <v>1524</v>
      </c>
      <c r="C476" t="s">
        <v>1525</v>
      </c>
      <c r="D476" t="s">
        <v>1526</v>
      </c>
      <c r="E476" t="s">
        <v>1527</v>
      </c>
      <c r="F476" t="s">
        <v>27</v>
      </c>
      <c r="G476" t="s">
        <v>17</v>
      </c>
      <c r="H476" t="s">
        <v>28</v>
      </c>
      <c r="I476" t="s">
        <v>43</v>
      </c>
      <c r="J476" t="s">
        <v>30</v>
      </c>
      <c r="K476" t="s">
        <v>44</v>
      </c>
    </row>
    <row r="477" spans="1:12" ht="15.75" hidden="1" customHeight="1" x14ac:dyDescent="0.15">
      <c r="A477" t="s">
        <v>707</v>
      </c>
      <c r="B477" t="s">
        <v>708</v>
      </c>
      <c r="C477" t="s">
        <v>709</v>
      </c>
      <c r="D477" t="s">
        <v>710</v>
      </c>
      <c r="E477" t="s">
        <v>711</v>
      </c>
      <c r="F477" t="s">
        <v>16</v>
      </c>
      <c r="G477" t="s">
        <v>17</v>
      </c>
      <c r="H477" t="s">
        <v>124</v>
      </c>
      <c r="I477" t="s">
        <v>87</v>
      </c>
      <c r="J477" t="s">
        <v>20</v>
      </c>
      <c r="K477" t="s">
        <v>44</v>
      </c>
      <c r="L477">
        <v>4</v>
      </c>
    </row>
    <row r="478" spans="1:12" ht="15.75" customHeight="1" x14ac:dyDescent="0.15">
      <c r="A478" t="s">
        <v>1538</v>
      </c>
      <c r="B478" t="s">
        <v>1539</v>
      </c>
      <c r="C478" t="s">
        <v>1540</v>
      </c>
      <c r="D478" t="s">
        <v>1541</v>
      </c>
      <c r="E478" t="s">
        <v>1542</v>
      </c>
      <c r="F478" t="s">
        <v>27</v>
      </c>
      <c r="G478" t="s">
        <v>17</v>
      </c>
      <c r="H478" t="s">
        <v>28</v>
      </c>
      <c r="I478" t="s">
        <v>43</v>
      </c>
      <c r="J478" t="s">
        <v>30</v>
      </c>
      <c r="K478" t="s">
        <v>44</v>
      </c>
    </row>
    <row r="479" spans="1:12" ht="15.75" customHeight="1" x14ac:dyDescent="0.15">
      <c r="A479" t="s">
        <v>1573</v>
      </c>
      <c r="B479" t="s">
        <v>1574</v>
      </c>
      <c r="C479" t="s">
        <v>1575</v>
      </c>
      <c r="D479" t="s">
        <v>1576</v>
      </c>
      <c r="E479" t="s">
        <v>1577</v>
      </c>
      <c r="F479" t="s">
        <v>27</v>
      </c>
      <c r="G479" t="s">
        <v>17</v>
      </c>
      <c r="H479" t="s">
        <v>28</v>
      </c>
      <c r="I479" t="s">
        <v>43</v>
      </c>
      <c r="J479" t="s">
        <v>30</v>
      </c>
      <c r="K479" t="s">
        <v>44</v>
      </c>
    </row>
    <row r="480" spans="1:12" ht="15.75" customHeight="1" x14ac:dyDescent="0.15">
      <c r="A480" t="s">
        <v>1713</v>
      </c>
      <c r="B480" t="s">
        <v>1714</v>
      </c>
      <c r="C480" t="s">
        <v>1715</v>
      </c>
      <c r="D480" t="s">
        <v>1716</v>
      </c>
      <c r="E480" t="s">
        <v>1717</v>
      </c>
      <c r="F480" t="s">
        <v>27</v>
      </c>
      <c r="G480" t="s">
        <v>17</v>
      </c>
      <c r="H480" t="s">
        <v>28</v>
      </c>
      <c r="I480" t="s">
        <v>43</v>
      </c>
      <c r="J480" t="s">
        <v>30</v>
      </c>
      <c r="K480" t="s">
        <v>44</v>
      </c>
    </row>
    <row r="481" spans="1:12" ht="15.75" hidden="1" customHeight="1" x14ac:dyDescent="0.15">
      <c r="A481" t="s">
        <v>622</v>
      </c>
      <c r="B481" t="s">
        <v>623</v>
      </c>
      <c r="C481" t="s">
        <v>624</v>
      </c>
      <c r="D481" t="s">
        <v>625</v>
      </c>
      <c r="E481" t="s">
        <v>626</v>
      </c>
      <c r="F481" t="s">
        <v>27</v>
      </c>
      <c r="G481" t="s">
        <v>17</v>
      </c>
      <c r="H481" t="s">
        <v>28</v>
      </c>
      <c r="I481" t="s">
        <v>58</v>
      </c>
      <c r="J481" t="s">
        <v>51</v>
      </c>
      <c r="K481" t="s">
        <v>59</v>
      </c>
    </row>
    <row r="482" spans="1:12" ht="15.75" customHeight="1" x14ac:dyDescent="0.15">
      <c r="A482" t="s">
        <v>1756</v>
      </c>
      <c r="B482" t="s">
        <v>1757</v>
      </c>
      <c r="C482" t="s">
        <v>1758</v>
      </c>
      <c r="D482" t="s">
        <v>1759</v>
      </c>
      <c r="E482" t="s">
        <v>1760</v>
      </c>
      <c r="F482" t="s">
        <v>27</v>
      </c>
      <c r="G482" t="s">
        <v>17</v>
      </c>
      <c r="H482" t="s">
        <v>28</v>
      </c>
      <c r="I482" t="s">
        <v>43</v>
      </c>
      <c r="J482" t="s">
        <v>30</v>
      </c>
      <c r="K482" t="s">
        <v>44</v>
      </c>
    </row>
    <row r="483" spans="1:12" ht="15.75" customHeight="1" x14ac:dyDescent="0.15">
      <c r="A483" t="s">
        <v>1810</v>
      </c>
      <c r="B483" t="s">
        <v>1811</v>
      </c>
      <c r="C483" t="s">
        <v>1812</v>
      </c>
      <c r="D483" t="s">
        <v>1813</v>
      </c>
      <c r="E483" t="s">
        <v>1814</v>
      </c>
      <c r="F483" t="s">
        <v>27</v>
      </c>
      <c r="G483" t="s">
        <v>17</v>
      </c>
      <c r="H483" t="s">
        <v>28</v>
      </c>
      <c r="I483" t="s">
        <v>43</v>
      </c>
      <c r="J483" t="s">
        <v>30</v>
      </c>
      <c r="K483" t="s">
        <v>44</v>
      </c>
    </row>
    <row r="484" spans="1:12" ht="15.75" hidden="1" customHeight="1" x14ac:dyDescent="0.15">
      <c r="A484" t="s">
        <v>1009</v>
      </c>
      <c r="B484" t="s">
        <v>1010</v>
      </c>
      <c r="C484" t="s">
        <v>1011</v>
      </c>
      <c r="D484" t="s">
        <v>1012</v>
      </c>
      <c r="E484" t="s">
        <v>1013</v>
      </c>
      <c r="F484" t="s">
        <v>16</v>
      </c>
      <c r="G484" t="s">
        <v>17</v>
      </c>
      <c r="H484" t="s">
        <v>124</v>
      </c>
      <c r="I484" t="s">
        <v>87</v>
      </c>
      <c r="J484" t="s">
        <v>20</v>
      </c>
      <c r="K484" t="s">
        <v>44</v>
      </c>
      <c r="L484">
        <v>5</v>
      </c>
    </row>
    <row r="485" spans="1:12" ht="15.75" hidden="1" customHeight="1" x14ac:dyDescent="0.15">
      <c r="A485" t="s">
        <v>687</v>
      </c>
      <c r="B485" t="s">
        <v>688</v>
      </c>
      <c r="C485" t="s">
        <v>689</v>
      </c>
      <c r="D485" t="s">
        <v>690</v>
      </c>
      <c r="E485" t="s">
        <v>691</v>
      </c>
      <c r="F485" t="s">
        <v>27</v>
      </c>
      <c r="G485" t="s">
        <v>17</v>
      </c>
      <c r="H485" t="s">
        <v>28</v>
      </c>
      <c r="I485" t="s">
        <v>58</v>
      </c>
      <c r="J485" t="s">
        <v>51</v>
      </c>
      <c r="K485" t="s">
        <v>59</v>
      </c>
    </row>
    <row r="486" spans="1:12" ht="15.75" hidden="1" customHeight="1" x14ac:dyDescent="0.15">
      <c r="A486" t="s">
        <v>801</v>
      </c>
      <c r="B486" t="s">
        <v>802</v>
      </c>
      <c r="C486" t="s">
        <v>803</v>
      </c>
      <c r="D486" t="s">
        <v>804</v>
      </c>
      <c r="E486" t="s">
        <v>805</v>
      </c>
      <c r="F486" t="s">
        <v>27</v>
      </c>
      <c r="G486" t="s">
        <v>17</v>
      </c>
      <c r="H486" t="s">
        <v>28</v>
      </c>
      <c r="I486" t="s">
        <v>58</v>
      </c>
      <c r="J486" t="s">
        <v>51</v>
      </c>
      <c r="K486" t="s">
        <v>59</v>
      </c>
    </row>
    <row r="487" spans="1:12" ht="15.75" hidden="1" customHeight="1" x14ac:dyDescent="0.15">
      <c r="A487" t="s">
        <v>349</v>
      </c>
      <c r="B487" t="s">
        <v>350</v>
      </c>
      <c r="C487" t="s">
        <v>351</v>
      </c>
      <c r="D487" t="s">
        <v>352</v>
      </c>
      <c r="E487" t="s">
        <v>353</v>
      </c>
      <c r="F487" t="s">
        <v>16</v>
      </c>
      <c r="G487" t="s">
        <v>17</v>
      </c>
      <c r="H487" t="s">
        <v>42</v>
      </c>
      <c r="I487" t="s">
        <v>87</v>
      </c>
      <c r="J487" t="s">
        <v>20</v>
      </c>
      <c r="K487" t="s">
        <v>44</v>
      </c>
      <c r="L487">
        <v>1</v>
      </c>
    </row>
    <row r="488" spans="1:12" ht="15.75" hidden="1" customHeight="1" x14ac:dyDescent="0.15">
      <c r="A488" t="s">
        <v>954</v>
      </c>
      <c r="B488" t="s">
        <v>955</v>
      </c>
      <c r="C488" t="s">
        <v>956</v>
      </c>
      <c r="D488" t="s">
        <v>957</v>
      </c>
      <c r="E488" t="s">
        <v>958</v>
      </c>
      <c r="F488" t="s">
        <v>27</v>
      </c>
      <c r="G488" t="s">
        <v>17</v>
      </c>
      <c r="H488" t="s">
        <v>28</v>
      </c>
      <c r="I488" t="s">
        <v>58</v>
      </c>
      <c r="J488" t="s">
        <v>51</v>
      </c>
      <c r="K488" t="s">
        <v>59</v>
      </c>
    </row>
    <row r="489" spans="1:12" ht="15.75" hidden="1" customHeight="1" x14ac:dyDescent="0.15">
      <c r="A489" t="s">
        <v>974</v>
      </c>
      <c r="B489" t="s">
        <v>975</v>
      </c>
      <c r="C489" t="s">
        <v>976</v>
      </c>
      <c r="D489" t="s">
        <v>977</v>
      </c>
      <c r="E489" t="s">
        <v>978</v>
      </c>
      <c r="F489" t="s">
        <v>27</v>
      </c>
      <c r="G489" t="s">
        <v>17</v>
      </c>
      <c r="H489" t="s">
        <v>28</v>
      </c>
      <c r="I489" t="s">
        <v>58</v>
      </c>
      <c r="J489" t="s">
        <v>51</v>
      </c>
      <c r="K489" t="s">
        <v>59</v>
      </c>
    </row>
    <row r="490" spans="1:12" ht="15.75" hidden="1" customHeight="1" x14ac:dyDescent="0.15">
      <c r="A490" t="s">
        <v>979</v>
      </c>
      <c r="B490" t="s">
        <v>980</v>
      </c>
      <c r="C490" t="s">
        <v>981</v>
      </c>
      <c r="D490" t="s">
        <v>982</v>
      </c>
      <c r="E490" t="s">
        <v>983</v>
      </c>
      <c r="F490" t="s">
        <v>27</v>
      </c>
      <c r="G490" t="s">
        <v>17</v>
      </c>
      <c r="H490" t="s">
        <v>28</v>
      </c>
      <c r="I490" t="s">
        <v>58</v>
      </c>
      <c r="J490" t="s">
        <v>51</v>
      </c>
      <c r="K490" t="s">
        <v>59</v>
      </c>
    </row>
    <row r="491" spans="1:12" ht="15.75" hidden="1" customHeight="1" x14ac:dyDescent="0.15">
      <c r="A491" t="s">
        <v>1058</v>
      </c>
      <c r="B491" t="s">
        <v>1059</v>
      </c>
      <c r="C491" t="s">
        <v>1060</v>
      </c>
      <c r="D491" t="s">
        <v>1061</v>
      </c>
      <c r="E491" t="s">
        <v>1062</v>
      </c>
      <c r="F491" t="s">
        <v>27</v>
      </c>
      <c r="G491" t="s">
        <v>17</v>
      </c>
      <c r="H491" t="s">
        <v>28</v>
      </c>
      <c r="I491" t="s">
        <v>58</v>
      </c>
      <c r="J491" t="s">
        <v>51</v>
      </c>
      <c r="K491" t="s">
        <v>59</v>
      </c>
    </row>
    <row r="492" spans="1:12" ht="15.75" hidden="1" customHeight="1" x14ac:dyDescent="0.15">
      <c r="A492" t="s">
        <v>1151</v>
      </c>
      <c r="B492" t="s">
        <v>1152</v>
      </c>
      <c r="C492" t="s">
        <v>1153</v>
      </c>
      <c r="D492" t="s">
        <v>1154</v>
      </c>
      <c r="E492" t="s">
        <v>1155</v>
      </c>
      <c r="F492" t="s">
        <v>27</v>
      </c>
      <c r="G492" t="s">
        <v>17</v>
      </c>
      <c r="H492" t="s">
        <v>28</v>
      </c>
      <c r="I492" t="s">
        <v>58</v>
      </c>
      <c r="J492" t="s">
        <v>51</v>
      </c>
      <c r="K492" t="s">
        <v>59</v>
      </c>
    </row>
    <row r="493" spans="1:12" ht="15.75" hidden="1" customHeight="1" x14ac:dyDescent="0.15">
      <c r="A493" t="s">
        <v>1176</v>
      </c>
      <c r="B493" t="s">
        <v>1177</v>
      </c>
      <c r="C493" t="s">
        <v>1178</v>
      </c>
      <c r="D493" t="s">
        <v>1179</v>
      </c>
      <c r="E493" t="s">
        <v>1180</v>
      </c>
      <c r="F493" t="s">
        <v>27</v>
      </c>
      <c r="G493" t="s">
        <v>17</v>
      </c>
      <c r="H493" t="s">
        <v>28</v>
      </c>
      <c r="I493" t="s">
        <v>58</v>
      </c>
      <c r="J493" t="s">
        <v>51</v>
      </c>
      <c r="K493" t="s">
        <v>59</v>
      </c>
    </row>
    <row r="494" spans="1:12" ht="15.75" customHeight="1" x14ac:dyDescent="0.15">
      <c r="A494" t="s">
        <v>1840</v>
      </c>
      <c r="B494" t="s">
        <v>1841</v>
      </c>
      <c r="C494" t="s">
        <v>1842</v>
      </c>
      <c r="D494" t="s">
        <v>1843</v>
      </c>
      <c r="E494" t="s">
        <v>1844</v>
      </c>
      <c r="F494" t="s">
        <v>27</v>
      </c>
      <c r="G494" t="s">
        <v>17</v>
      </c>
      <c r="H494" t="s">
        <v>28</v>
      </c>
      <c r="I494" t="s">
        <v>43</v>
      </c>
      <c r="J494" t="s">
        <v>30</v>
      </c>
      <c r="K494" t="s">
        <v>44</v>
      </c>
    </row>
    <row r="495" spans="1:12" ht="15.75" hidden="1" customHeight="1" x14ac:dyDescent="0.15">
      <c r="A495" t="s">
        <v>1191</v>
      </c>
      <c r="B495" t="s">
        <v>1192</v>
      </c>
      <c r="C495" t="s">
        <v>1193</v>
      </c>
      <c r="D495" t="s">
        <v>1194</v>
      </c>
      <c r="E495" t="s">
        <v>790</v>
      </c>
      <c r="F495" t="s">
        <v>27</v>
      </c>
      <c r="G495" t="s">
        <v>17</v>
      </c>
      <c r="H495" t="s">
        <v>28</v>
      </c>
      <c r="I495" t="s">
        <v>58</v>
      </c>
      <c r="J495" t="s">
        <v>51</v>
      </c>
      <c r="K495" t="s">
        <v>59</v>
      </c>
    </row>
    <row r="496" spans="1:12" ht="15.75" hidden="1" customHeight="1" x14ac:dyDescent="0.15">
      <c r="A496" t="s">
        <v>1294</v>
      </c>
      <c r="B496" t="s">
        <v>1295</v>
      </c>
      <c r="C496" t="s">
        <v>1296</v>
      </c>
      <c r="D496" t="s">
        <v>1297</v>
      </c>
      <c r="E496" t="s">
        <v>1298</v>
      </c>
      <c r="F496" t="s">
        <v>27</v>
      </c>
      <c r="G496" t="s">
        <v>17</v>
      </c>
      <c r="H496" t="s">
        <v>28</v>
      </c>
      <c r="I496" t="s">
        <v>58</v>
      </c>
      <c r="J496" t="s">
        <v>51</v>
      </c>
      <c r="K496" t="s">
        <v>59</v>
      </c>
    </row>
    <row r="497" spans="1:11" ht="15.75" customHeight="1" x14ac:dyDescent="0.15">
      <c r="A497" t="s">
        <v>1904</v>
      </c>
      <c r="B497" t="s">
        <v>1905</v>
      </c>
      <c r="C497" t="s">
        <v>1906</v>
      </c>
      <c r="D497" t="s">
        <v>1907</v>
      </c>
      <c r="E497" t="s">
        <v>1908</v>
      </c>
      <c r="F497" t="s">
        <v>27</v>
      </c>
      <c r="G497" t="s">
        <v>17</v>
      </c>
      <c r="H497" t="s">
        <v>28</v>
      </c>
      <c r="I497" t="s">
        <v>43</v>
      </c>
      <c r="J497" t="s">
        <v>30</v>
      </c>
      <c r="K497" t="s">
        <v>44</v>
      </c>
    </row>
    <row r="498" spans="1:11" ht="15.75" customHeight="1" x14ac:dyDescent="0.15">
      <c r="A498" t="s">
        <v>1919</v>
      </c>
      <c r="B498" t="s">
        <v>1920</v>
      </c>
      <c r="C498" t="s">
        <v>1921</v>
      </c>
      <c r="D498" t="s">
        <v>1922</v>
      </c>
      <c r="E498" t="s">
        <v>1923</v>
      </c>
      <c r="F498" t="s">
        <v>27</v>
      </c>
      <c r="G498" t="s">
        <v>17</v>
      </c>
      <c r="H498" t="s">
        <v>28</v>
      </c>
      <c r="I498" t="s">
        <v>43</v>
      </c>
      <c r="J498" t="s">
        <v>30</v>
      </c>
      <c r="K498" t="s">
        <v>44</v>
      </c>
    </row>
    <row r="499" spans="1:11" ht="15.75" customHeight="1" x14ac:dyDescent="0.15">
      <c r="A499" t="s">
        <v>1934</v>
      </c>
      <c r="B499" t="s">
        <v>1935</v>
      </c>
      <c r="C499" t="s">
        <v>1936</v>
      </c>
      <c r="D499" t="s">
        <v>1937</v>
      </c>
      <c r="E499" t="s">
        <v>1938</v>
      </c>
      <c r="F499" t="s">
        <v>27</v>
      </c>
      <c r="G499" t="s">
        <v>17</v>
      </c>
      <c r="H499" t="s">
        <v>28</v>
      </c>
      <c r="I499" t="s">
        <v>43</v>
      </c>
      <c r="J499" t="s">
        <v>30</v>
      </c>
      <c r="K499" t="s">
        <v>44</v>
      </c>
    </row>
    <row r="500" spans="1:11" ht="15.75" customHeight="1" x14ac:dyDescent="0.15">
      <c r="A500" t="s">
        <v>1949</v>
      </c>
      <c r="B500" t="s">
        <v>1950</v>
      </c>
      <c r="C500" t="s">
        <v>1951</v>
      </c>
      <c r="D500" t="s">
        <v>1952</v>
      </c>
      <c r="E500" t="s">
        <v>1953</v>
      </c>
      <c r="F500" t="s">
        <v>27</v>
      </c>
      <c r="G500" t="s">
        <v>17</v>
      </c>
      <c r="H500" t="s">
        <v>28</v>
      </c>
      <c r="I500" t="s">
        <v>43</v>
      </c>
      <c r="J500" t="s">
        <v>30</v>
      </c>
      <c r="K500" t="s">
        <v>44</v>
      </c>
    </row>
    <row r="501" spans="1:11" ht="15.75" customHeight="1" x14ac:dyDescent="0.15">
      <c r="A501" t="s">
        <v>1959</v>
      </c>
      <c r="B501" t="s">
        <v>1960</v>
      </c>
      <c r="C501" t="s">
        <v>1961</v>
      </c>
      <c r="D501" t="s">
        <v>1962</v>
      </c>
      <c r="E501" t="s">
        <v>1963</v>
      </c>
      <c r="F501" t="s">
        <v>27</v>
      </c>
      <c r="G501" t="s">
        <v>17</v>
      </c>
      <c r="H501" t="s">
        <v>28</v>
      </c>
      <c r="I501" t="s">
        <v>43</v>
      </c>
      <c r="J501" t="s">
        <v>30</v>
      </c>
      <c r="K501" t="s">
        <v>44</v>
      </c>
    </row>
    <row r="502" spans="1:11" ht="15.75" hidden="1" customHeight="1" x14ac:dyDescent="0.15">
      <c r="A502" t="s">
        <v>1448</v>
      </c>
      <c r="B502" t="s">
        <v>1449</v>
      </c>
      <c r="C502" t="s">
        <v>1450</v>
      </c>
      <c r="D502" t="s">
        <v>1451</v>
      </c>
      <c r="E502" t="s">
        <v>1452</v>
      </c>
      <c r="F502" t="s">
        <v>27</v>
      </c>
      <c r="G502" t="s">
        <v>17</v>
      </c>
      <c r="H502" t="s">
        <v>28</v>
      </c>
      <c r="I502" t="s">
        <v>58</v>
      </c>
      <c r="J502" t="s">
        <v>51</v>
      </c>
      <c r="K502" t="s">
        <v>59</v>
      </c>
    </row>
    <row r="503" spans="1:11" ht="15.75" hidden="1" customHeight="1" x14ac:dyDescent="0.15">
      <c r="A503" t="s">
        <v>1558</v>
      </c>
      <c r="B503" t="s">
        <v>1559</v>
      </c>
      <c r="C503" t="s">
        <v>1560</v>
      </c>
      <c r="D503" t="s">
        <v>1561</v>
      </c>
      <c r="E503" t="s">
        <v>1562</v>
      </c>
      <c r="F503" t="s">
        <v>27</v>
      </c>
      <c r="G503" t="s">
        <v>17</v>
      </c>
      <c r="H503" t="s">
        <v>28</v>
      </c>
      <c r="I503" t="s">
        <v>58</v>
      </c>
      <c r="J503" t="s">
        <v>51</v>
      </c>
      <c r="K503" t="s">
        <v>59</v>
      </c>
    </row>
    <row r="504" spans="1:11" ht="15.75" hidden="1" customHeight="1" x14ac:dyDescent="0.15">
      <c r="A504" t="s">
        <v>1608</v>
      </c>
      <c r="B504" t="s">
        <v>1609</v>
      </c>
      <c r="C504" t="s">
        <v>1610</v>
      </c>
      <c r="D504" t="s">
        <v>1611</v>
      </c>
      <c r="E504" t="s">
        <v>1612</v>
      </c>
      <c r="F504" t="s">
        <v>27</v>
      </c>
      <c r="G504" t="s">
        <v>17</v>
      </c>
      <c r="H504" t="s">
        <v>28</v>
      </c>
      <c r="I504" t="s">
        <v>58</v>
      </c>
      <c r="J504" t="s">
        <v>51</v>
      </c>
      <c r="K504" t="s">
        <v>59</v>
      </c>
    </row>
    <row r="505" spans="1:11" ht="15.75" customHeight="1" x14ac:dyDescent="0.15">
      <c r="A505" t="s">
        <v>2004</v>
      </c>
      <c r="B505" t="s">
        <v>2005</v>
      </c>
      <c r="C505" t="s">
        <v>2006</v>
      </c>
      <c r="D505" t="s">
        <v>2007</v>
      </c>
      <c r="E505" t="s">
        <v>2008</v>
      </c>
      <c r="F505" t="s">
        <v>27</v>
      </c>
      <c r="G505" t="s">
        <v>17</v>
      </c>
      <c r="H505" t="s">
        <v>28</v>
      </c>
      <c r="I505" t="s">
        <v>43</v>
      </c>
      <c r="J505" t="s">
        <v>30</v>
      </c>
      <c r="K505" t="s">
        <v>44</v>
      </c>
    </row>
    <row r="506" spans="1:11" ht="15.75" hidden="1" customHeight="1" x14ac:dyDescent="0.15">
      <c r="A506" t="s">
        <v>1683</v>
      </c>
      <c r="B506" t="s">
        <v>1684</v>
      </c>
      <c r="C506" t="s">
        <v>1685</v>
      </c>
      <c r="D506" t="s">
        <v>1686</v>
      </c>
      <c r="E506" t="s">
        <v>1687</v>
      </c>
      <c r="F506" t="s">
        <v>27</v>
      </c>
      <c r="G506" t="s">
        <v>17</v>
      </c>
      <c r="H506" t="s">
        <v>28</v>
      </c>
      <c r="I506" t="s">
        <v>58</v>
      </c>
      <c r="J506" t="s">
        <v>51</v>
      </c>
      <c r="K506" t="s">
        <v>59</v>
      </c>
    </row>
    <row r="507" spans="1:11" ht="15.75" customHeight="1" x14ac:dyDescent="0.15">
      <c r="A507" t="s">
        <v>2019</v>
      </c>
      <c r="B507" t="s">
        <v>2020</v>
      </c>
      <c r="C507" t="s">
        <v>2021</v>
      </c>
      <c r="D507" t="s">
        <v>2022</v>
      </c>
      <c r="E507" t="s">
        <v>123</v>
      </c>
      <c r="F507" t="s">
        <v>27</v>
      </c>
      <c r="G507" t="s">
        <v>17</v>
      </c>
      <c r="H507" t="s">
        <v>28</v>
      </c>
      <c r="I507" t="s">
        <v>43</v>
      </c>
      <c r="J507" t="s">
        <v>30</v>
      </c>
      <c r="K507" t="s">
        <v>44</v>
      </c>
    </row>
    <row r="508" spans="1:11" ht="15.75" hidden="1" customHeight="1" x14ac:dyDescent="0.15">
      <c r="A508" t="s">
        <v>1738</v>
      </c>
      <c r="B508" t="s">
        <v>1739</v>
      </c>
      <c r="C508" t="s">
        <v>1740</v>
      </c>
      <c r="D508" t="s">
        <v>785</v>
      </c>
      <c r="E508" t="s">
        <v>785</v>
      </c>
      <c r="F508" t="s">
        <v>27</v>
      </c>
      <c r="G508" t="s">
        <v>17</v>
      </c>
      <c r="H508" t="s">
        <v>28</v>
      </c>
      <c r="I508" t="s">
        <v>58</v>
      </c>
      <c r="J508" t="s">
        <v>51</v>
      </c>
      <c r="K508" t="s">
        <v>59</v>
      </c>
    </row>
    <row r="509" spans="1:11" ht="15.75" hidden="1" customHeight="1" x14ac:dyDescent="0.15">
      <c r="A509" t="s">
        <v>1741</v>
      </c>
      <c r="B509" t="s">
        <v>1742</v>
      </c>
      <c r="C509" t="s">
        <v>1743</v>
      </c>
      <c r="D509" t="s">
        <v>1744</v>
      </c>
      <c r="E509" t="s">
        <v>1745</v>
      </c>
      <c r="F509" t="s">
        <v>27</v>
      </c>
      <c r="G509" t="s">
        <v>17</v>
      </c>
      <c r="H509" t="s">
        <v>28</v>
      </c>
      <c r="I509" t="s">
        <v>58</v>
      </c>
      <c r="J509" t="s">
        <v>51</v>
      </c>
      <c r="K509" t="s">
        <v>59</v>
      </c>
    </row>
    <row r="510" spans="1:11" ht="15.75" hidden="1" customHeight="1" x14ac:dyDescent="0.15">
      <c r="A510" t="s">
        <v>1771</v>
      </c>
      <c r="B510" t="s">
        <v>1772</v>
      </c>
      <c r="C510" t="s">
        <v>1773</v>
      </c>
      <c r="D510" t="s">
        <v>1774</v>
      </c>
      <c r="E510" t="s">
        <v>1775</v>
      </c>
      <c r="F510" t="s">
        <v>27</v>
      </c>
      <c r="G510" t="s">
        <v>17</v>
      </c>
      <c r="H510" t="s">
        <v>28</v>
      </c>
      <c r="I510" t="s">
        <v>58</v>
      </c>
      <c r="J510" t="s">
        <v>51</v>
      </c>
      <c r="K510" t="s">
        <v>59</v>
      </c>
    </row>
    <row r="511" spans="1:11" ht="15.75" hidden="1" customHeight="1" x14ac:dyDescent="0.15">
      <c r="A511" t="s">
        <v>1825</v>
      </c>
      <c r="B511" t="s">
        <v>1826</v>
      </c>
      <c r="C511" t="s">
        <v>1827</v>
      </c>
      <c r="D511" t="s">
        <v>1828</v>
      </c>
      <c r="E511" t="s">
        <v>1829</v>
      </c>
      <c r="F511" t="s">
        <v>27</v>
      </c>
      <c r="G511" t="s">
        <v>17</v>
      </c>
      <c r="H511" t="s">
        <v>28</v>
      </c>
      <c r="I511" t="s">
        <v>58</v>
      </c>
      <c r="J511" t="s">
        <v>51</v>
      </c>
      <c r="K511" t="s">
        <v>59</v>
      </c>
    </row>
    <row r="512" spans="1:11" ht="15.75" hidden="1" customHeight="1" x14ac:dyDescent="0.15">
      <c r="A512" t="s">
        <v>1835</v>
      </c>
      <c r="B512" t="s">
        <v>1836</v>
      </c>
      <c r="C512" t="s">
        <v>1837</v>
      </c>
      <c r="D512" t="s">
        <v>1838</v>
      </c>
      <c r="E512" t="s">
        <v>1839</v>
      </c>
      <c r="F512" t="s">
        <v>27</v>
      </c>
      <c r="G512" t="s">
        <v>17</v>
      </c>
      <c r="H512" t="s">
        <v>28</v>
      </c>
      <c r="I512" t="s">
        <v>58</v>
      </c>
      <c r="J512" t="s">
        <v>51</v>
      </c>
      <c r="K512" t="s">
        <v>59</v>
      </c>
    </row>
    <row r="513" spans="1:12" ht="15.75" hidden="1" customHeight="1" x14ac:dyDescent="0.15">
      <c r="A513" t="s">
        <v>458</v>
      </c>
      <c r="B513" t="s">
        <v>459</v>
      </c>
      <c r="C513" t="s">
        <v>460</v>
      </c>
      <c r="D513" t="s">
        <v>461</v>
      </c>
      <c r="E513" t="s">
        <v>462</v>
      </c>
      <c r="F513" t="s">
        <v>16</v>
      </c>
      <c r="G513" t="s">
        <v>17</v>
      </c>
      <c r="H513" t="s">
        <v>42</v>
      </c>
      <c r="I513" t="s">
        <v>87</v>
      </c>
      <c r="J513" t="s">
        <v>20</v>
      </c>
      <c r="K513" t="s">
        <v>44</v>
      </c>
      <c r="L513">
        <v>2</v>
      </c>
    </row>
    <row r="514" spans="1:12" ht="15.75" hidden="1" customHeight="1" x14ac:dyDescent="0.15">
      <c r="A514" t="s">
        <v>1914</v>
      </c>
      <c r="B514" t="s">
        <v>1915</v>
      </c>
      <c r="C514" t="s">
        <v>1916</v>
      </c>
      <c r="D514" t="s">
        <v>1917</v>
      </c>
      <c r="E514" t="s">
        <v>1918</v>
      </c>
      <c r="F514" t="s">
        <v>27</v>
      </c>
      <c r="G514" t="s">
        <v>17</v>
      </c>
      <c r="H514" t="s">
        <v>28</v>
      </c>
      <c r="I514" t="s">
        <v>58</v>
      </c>
      <c r="J514" t="s">
        <v>51</v>
      </c>
      <c r="K514" t="s">
        <v>59</v>
      </c>
    </row>
    <row r="515" spans="1:12" ht="15.75" hidden="1" customHeight="1" x14ac:dyDescent="0.15">
      <c r="A515" t="s">
        <v>1924</v>
      </c>
      <c r="B515" t="s">
        <v>1925</v>
      </c>
      <c r="C515" t="s">
        <v>1926</v>
      </c>
      <c r="D515" t="s">
        <v>1927</v>
      </c>
      <c r="E515" t="s">
        <v>1928</v>
      </c>
      <c r="F515" t="s">
        <v>27</v>
      </c>
      <c r="G515" t="s">
        <v>17</v>
      </c>
      <c r="H515" t="s">
        <v>28</v>
      </c>
      <c r="I515" t="s">
        <v>58</v>
      </c>
      <c r="J515" t="s">
        <v>51</v>
      </c>
      <c r="K515" t="s">
        <v>59</v>
      </c>
    </row>
    <row r="516" spans="1:12" ht="15.75" hidden="1" customHeight="1" x14ac:dyDescent="0.15">
      <c r="A516" t="s">
        <v>1493</v>
      </c>
      <c r="B516" t="s">
        <v>1494</v>
      </c>
      <c r="C516" t="s">
        <v>1495</v>
      </c>
      <c r="D516" t="s">
        <v>1496</v>
      </c>
      <c r="E516" t="s">
        <v>1497</v>
      </c>
      <c r="F516" t="s">
        <v>16</v>
      </c>
      <c r="G516" t="s">
        <v>17</v>
      </c>
      <c r="H516" t="s">
        <v>42</v>
      </c>
      <c r="I516" t="s">
        <v>87</v>
      </c>
      <c r="J516" t="s">
        <v>20</v>
      </c>
      <c r="K516" t="s">
        <v>44</v>
      </c>
      <c r="L516">
        <v>3</v>
      </c>
    </row>
    <row r="517" spans="1:12" ht="15.75" hidden="1" customHeight="1" x14ac:dyDescent="0.15">
      <c r="A517" t="s">
        <v>2014</v>
      </c>
      <c r="B517" t="s">
        <v>2015</v>
      </c>
      <c r="C517" t="s">
        <v>2016</v>
      </c>
      <c r="D517" t="s">
        <v>2017</v>
      </c>
      <c r="E517" t="s">
        <v>2018</v>
      </c>
      <c r="F517" t="s">
        <v>27</v>
      </c>
      <c r="G517" t="s">
        <v>17</v>
      </c>
      <c r="H517" t="s">
        <v>28</v>
      </c>
      <c r="I517" t="s">
        <v>58</v>
      </c>
      <c r="J517" t="s">
        <v>51</v>
      </c>
      <c r="K517" t="s">
        <v>59</v>
      </c>
    </row>
    <row r="518" spans="1:12" ht="15.75" hidden="1" customHeight="1" x14ac:dyDescent="0.15">
      <c r="A518" t="s">
        <v>2048</v>
      </c>
      <c r="B518" t="s">
        <v>2049</v>
      </c>
      <c r="C518" t="s">
        <v>2050</v>
      </c>
      <c r="D518" t="s">
        <v>2051</v>
      </c>
      <c r="E518" t="s">
        <v>2052</v>
      </c>
      <c r="F518" t="s">
        <v>27</v>
      </c>
      <c r="G518" t="s">
        <v>17</v>
      </c>
      <c r="H518" t="s">
        <v>28</v>
      </c>
      <c r="I518" t="s">
        <v>58</v>
      </c>
      <c r="J518" t="s">
        <v>51</v>
      </c>
      <c r="K518" t="s">
        <v>59</v>
      </c>
    </row>
    <row r="519" spans="1:12" ht="15.75" hidden="1" customHeight="1" x14ac:dyDescent="0.15">
      <c r="A519" t="s">
        <v>2157</v>
      </c>
      <c r="B519" t="s">
        <v>2158</v>
      </c>
      <c r="C519" t="s">
        <v>2159</v>
      </c>
      <c r="D519" t="s">
        <v>2160</v>
      </c>
      <c r="E519" t="s">
        <v>2161</v>
      </c>
      <c r="F519" t="s">
        <v>27</v>
      </c>
      <c r="G519" t="s">
        <v>17</v>
      </c>
      <c r="H519" t="s">
        <v>28</v>
      </c>
      <c r="I519" t="s">
        <v>58</v>
      </c>
      <c r="J519" t="s">
        <v>51</v>
      </c>
      <c r="K519" t="s">
        <v>59</v>
      </c>
    </row>
    <row r="520" spans="1:12" ht="15.75" customHeight="1" x14ac:dyDescent="0.15">
      <c r="A520" t="s">
        <v>2058</v>
      </c>
      <c r="B520" t="s">
        <v>2059</v>
      </c>
      <c r="C520" t="s">
        <v>2060</v>
      </c>
      <c r="D520" t="s">
        <v>2061</v>
      </c>
      <c r="E520" t="s">
        <v>2062</v>
      </c>
      <c r="F520" t="s">
        <v>27</v>
      </c>
      <c r="G520" t="s">
        <v>17</v>
      </c>
      <c r="H520" t="s">
        <v>28</v>
      </c>
      <c r="I520" t="s">
        <v>43</v>
      </c>
      <c r="J520" t="s">
        <v>30</v>
      </c>
      <c r="K520" t="s">
        <v>44</v>
      </c>
    </row>
    <row r="521" spans="1:12" ht="15.75" customHeight="1" x14ac:dyDescent="0.15">
      <c r="A521" t="s">
        <v>2083</v>
      </c>
      <c r="B521" t="s">
        <v>2084</v>
      </c>
      <c r="C521" t="s">
        <v>2085</v>
      </c>
      <c r="D521" t="s">
        <v>2086</v>
      </c>
      <c r="E521" t="s">
        <v>2087</v>
      </c>
      <c r="F521" t="s">
        <v>27</v>
      </c>
      <c r="G521" t="s">
        <v>17</v>
      </c>
      <c r="H521" t="s">
        <v>28</v>
      </c>
      <c r="I521" t="s">
        <v>43</v>
      </c>
      <c r="J521" t="s">
        <v>30</v>
      </c>
      <c r="K521" t="s">
        <v>44</v>
      </c>
    </row>
    <row r="522" spans="1:12" ht="15.75" hidden="1" customHeight="1" x14ac:dyDescent="0.15">
      <c r="A522" t="s">
        <v>2172</v>
      </c>
      <c r="B522" t="s">
        <v>2173</v>
      </c>
      <c r="C522" t="s">
        <v>2174</v>
      </c>
      <c r="D522" t="s">
        <v>2175</v>
      </c>
      <c r="E522" t="s">
        <v>2176</v>
      </c>
      <c r="F522" t="s">
        <v>27</v>
      </c>
      <c r="G522" t="s">
        <v>17</v>
      </c>
      <c r="H522" t="s">
        <v>28</v>
      </c>
      <c r="I522" t="s">
        <v>58</v>
      </c>
      <c r="J522" t="s">
        <v>51</v>
      </c>
      <c r="K522" t="s">
        <v>59</v>
      </c>
    </row>
    <row r="523" spans="1:12" ht="15.75" hidden="1" customHeight="1" x14ac:dyDescent="0.15">
      <c r="A523" t="s">
        <v>1518</v>
      </c>
      <c r="B523" t="s">
        <v>1519</v>
      </c>
      <c r="C523" t="s">
        <v>1520</v>
      </c>
      <c r="D523" t="s">
        <v>1521</v>
      </c>
      <c r="E523" t="s">
        <v>1522</v>
      </c>
      <c r="F523" t="s">
        <v>16</v>
      </c>
      <c r="G523" t="s">
        <v>17</v>
      </c>
      <c r="H523" t="s">
        <v>42</v>
      </c>
      <c r="I523" t="s">
        <v>87</v>
      </c>
      <c r="J523" t="s">
        <v>20</v>
      </c>
      <c r="K523" t="s">
        <v>44</v>
      </c>
      <c r="L523">
        <v>4</v>
      </c>
    </row>
    <row r="524" spans="1:12" ht="15.75" hidden="1" customHeight="1" x14ac:dyDescent="0.15">
      <c r="A524" t="s">
        <v>206</v>
      </c>
      <c r="B524" t="s">
        <v>207</v>
      </c>
      <c r="C524" t="s">
        <v>208</v>
      </c>
      <c r="D524" t="s">
        <v>209</v>
      </c>
      <c r="E524" t="s">
        <v>210</v>
      </c>
      <c r="F524" t="s">
        <v>16</v>
      </c>
      <c r="G524" t="s">
        <v>17</v>
      </c>
      <c r="H524" t="s">
        <v>150</v>
      </c>
      <c r="I524" t="s">
        <v>87</v>
      </c>
      <c r="J524" t="s">
        <v>20</v>
      </c>
      <c r="K524" t="s">
        <v>44</v>
      </c>
      <c r="L524">
        <v>1</v>
      </c>
    </row>
    <row r="525" spans="1:12" ht="15.75" customHeight="1" x14ac:dyDescent="0.15">
      <c r="A525" t="s">
        <v>2107</v>
      </c>
      <c r="B525" t="s">
        <v>2108</v>
      </c>
      <c r="C525" t="s">
        <v>2109</v>
      </c>
      <c r="D525" t="s">
        <v>2110</v>
      </c>
      <c r="E525" t="s">
        <v>2111</v>
      </c>
      <c r="F525" t="s">
        <v>27</v>
      </c>
      <c r="G525" t="s">
        <v>17</v>
      </c>
      <c r="H525" t="s">
        <v>28</v>
      </c>
      <c r="I525" t="s">
        <v>43</v>
      </c>
      <c r="J525" t="s">
        <v>30</v>
      </c>
      <c r="K525" t="s">
        <v>44</v>
      </c>
    </row>
    <row r="526" spans="1:12" ht="15.75" hidden="1" customHeight="1" x14ac:dyDescent="0.15">
      <c r="A526" t="s">
        <v>2187</v>
      </c>
      <c r="B526" t="s">
        <v>2188</v>
      </c>
      <c r="C526" t="s">
        <v>2189</v>
      </c>
      <c r="D526" t="s">
        <v>2190</v>
      </c>
      <c r="E526" t="s">
        <v>2191</v>
      </c>
      <c r="F526" t="s">
        <v>27</v>
      </c>
      <c r="G526" t="s">
        <v>17</v>
      </c>
      <c r="H526" t="s">
        <v>28</v>
      </c>
      <c r="I526" t="s">
        <v>58</v>
      </c>
      <c r="J526" t="s">
        <v>51</v>
      </c>
      <c r="K526" t="s">
        <v>59</v>
      </c>
    </row>
    <row r="527" spans="1:12" ht="15.75" customHeight="1" x14ac:dyDescent="0.15">
      <c r="A527" t="s">
        <v>2127</v>
      </c>
      <c r="B527" t="s">
        <v>2128</v>
      </c>
      <c r="C527" t="s">
        <v>2129</v>
      </c>
      <c r="D527" t="s">
        <v>2130</v>
      </c>
      <c r="E527" t="s">
        <v>2131</v>
      </c>
      <c r="F527" t="s">
        <v>27</v>
      </c>
      <c r="G527" t="s">
        <v>17</v>
      </c>
      <c r="H527" t="s">
        <v>28</v>
      </c>
      <c r="I527" t="s">
        <v>43</v>
      </c>
      <c r="J527" t="s">
        <v>30</v>
      </c>
      <c r="K527" t="s">
        <v>44</v>
      </c>
    </row>
    <row r="528" spans="1:12" ht="15.75" hidden="1" customHeight="1" x14ac:dyDescent="0.15">
      <c r="A528" t="s">
        <v>2207</v>
      </c>
      <c r="B528" t="s">
        <v>2208</v>
      </c>
      <c r="C528" t="s">
        <v>2209</v>
      </c>
      <c r="D528" t="s">
        <v>2210</v>
      </c>
      <c r="E528" t="s">
        <v>2211</v>
      </c>
      <c r="F528" t="s">
        <v>27</v>
      </c>
      <c r="G528" t="s">
        <v>17</v>
      </c>
      <c r="H528" t="s">
        <v>28</v>
      </c>
      <c r="I528" t="s">
        <v>58</v>
      </c>
      <c r="J528" t="s">
        <v>51</v>
      </c>
      <c r="K528" t="s">
        <v>59</v>
      </c>
    </row>
    <row r="529" spans="1:12" ht="15.75" hidden="1" customHeight="1" x14ac:dyDescent="0.15">
      <c r="A529" t="s">
        <v>865</v>
      </c>
      <c r="B529" t="s">
        <v>866</v>
      </c>
      <c r="C529" t="s">
        <v>867</v>
      </c>
      <c r="D529" t="s">
        <v>868</v>
      </c>
      <c r="E529" t="s">
        <v>869</v>
      </c>
      <c r="F529" t="s">
        <v>16</v>
      </c>
      <c r="G529" t="s">
        <v>17</v>
      </c>
      <c r="H529" t="s">
        <v>150</v>
      </c>
      <c r="I529" t="s">
        <v>87</v>
      </c>
      <c r="J529" t="s">
        <v>20</v>
      </c>
      <c r="K529" t="s">
        <v>44</v>
      </c>
      <c r="L529">
        <v>2</v>
      </c>
    </row>
    <row r="530" spans="1:12" ht="15.75" customHeight="1" x14ac:dyDescent="0.15">
      <c r="A530" t="s">
        <v>2167</v>
      </c>
      <c r="B530" t="s">
        <v>2168</v>
      </c>
      <c r="C530" t="s">
        <v>2169</v>
      </c>
      <c r="D530" t="s">
        <v>2170</v>
      </c>
      <c r="E530" t="s">
        <v>2171</v>
      </c>
      <c r="F530" t="s">
        <v>27</v>
      </c>
      <c r="G530" t="s">
        <v>17</v>
      </c>
      <c r="H530" t="s">
        <v>28</v>
      </c>
      <c r="I530" t="s">
        <v>43</v>
      </c>
      <c r="J530" t="s">
        <v>30</v>
      </c>
      <c r="K530" t="s">
        <v>44</v>
      </c>
    </row>
    <row r="531" spans="1:12" ht="15.75" hidden="1" customHeight="1" x14ac:dyDescent="0.15">
      <c r="A531" t="s">
        <v>1364</v>
      </c>
      <c r="B531" t="s">
        <v>1365</v>
      </c>
      <c r="C531" t="s">
        <v>1366</v>
      </c>
      <c r="D531" t="s">
        <v>1367</v>
      </c>
      <c r="E531" t="s">
        <v>1368</v>
      </c>
      <c r="F531" t="s">
        <v>16</v>
      </c>
      <c r="G531" t="s">
        <v>17</v>
      </c>
      <c r="H531" t="s">
        <v>150</v>
      </c>
      <c r="I531" t="s">
        <v>87</v>
      </c>
      <c r="J531" t="s">
        <v>20</v>
      </c>
      <c r="K531" t="s">
        <v>44</v>
      </c>
      <c r="L531">
        <v>4</v>
      </c>
    </row>
    <row r="532" spans="1:12" ht="15.75" hidden="1" customHeight="1" x14ac:dyDescent="0.15">
      <c r="A532" s="1" t="s">
        <v>82</v>
      </c>
      <c r="B532" s="2" t="s">
        <v>83</v>
      </c>
      <c r="C532" s="1" t="s">
        <v>84</v>
      </c>
      <c r="D532" s="1" t="s">
        <v>85</v>
      </c>
      <c r="E532" s="1" t="s">
        <v>86</v>
      </c>
      <c r="F532" s="1" t="s">
        <v>16</v>
      </c>
      <c r="G532" s="1" t="s">
        <v>17</v>
      </c>
      <c r="H532" s="1" t="s">
        <v>36</v>
      </c>
      <c r="I532" s="1" t="s">
        <v>87</v>
      </c>
      <c r="J532" s="1" t="s">
        <v>20</v>
      </c>
      <c r="K532" s="1" t="s">
        <v>44</v>
      </c>
      <c r="L532">
        <v>1</v>
      </c>
    </row>
    <row r="533" spans="1:12" ht="15.75" customHeight="1" x14ac:dyDescent="0.15">
      <c r="A533" t="s">
        <v>2212</v>
      </c>
      <c r="B533" t="s">
        <v>2213</v>
      </c>
      <c r="C533" t="s">
        <v>2214</v>
      </c>
      <c r="D533" t="s">
        <v>2215</v>
      </c>
      <c r="E533" t="s">
        <v>2216</v>
      </c>
      <c r="F533" t="s">
        <v>27</v>
      </c>
      <c r="G533" t="s">
        <v>17</v>
      </c>
      <c r="H533" t="s">
        <v>28</v>
      </c>
      <c r="I533" t="s">
        <v>43</v>
      </c>
      <c r="J533" t="s">
        <v>30</v>
      </c>
      <c r="K533" t="s">
        <v>44</v>
      </c>
    </row>
    <row r="534" spans="1:12" ht="15.75" hidden="1" customHeight="1" x14ac:dyDescent="0.15">
      <c r="A534" t="s">
        <v>2217</v>
      </c>
      <c r="B534" t="s">
        <v>2218</v>
      </c>
      <c r="C534" t="s">
        <v>2219</v>
      </c>
      <c r="D534" t="s">
        <v>2220</v>
      </c>
      <c r="E534" t="s">
        <v>2221</v>
      </c>
      <c r="F534" t="s">
        <v>27</v>
      </c>
      <c r="G534" t="s">
        <v>17</v>
      </c>
      <c r="H534" t="s">
        <v>28</v>
      </c>
      <c r="I534" t="s">
        <v>58</v>
      </c>
      <c r="J534" t="s">
        <v>51</v>
      </c>
      <c r="K534" t="s">
        <v>59</v>
      </c>
    </row>
    <row r="535" spans="1:12" ht="15.75" hidden="1" customHeight="1" x14ac:dyDescent="0.15">
      <c r="A535" t="s">
        <v>280</v>
      </c>
      <c r="B535" t="s">
        <v>281</v>
      </c>
      <c r="C535" t="s">
        <v>282</v>
      </c>
      <c r="D535" t="s">
        <v>283</v>
      </c>
      <c r="E535" t="s">
        <v>284</v>
      </c>
      <c r="F535" t="s">
        <v>16</v>
      </c>
      <c r="G535" t="s">
        <v>17</v>
      </c>
      <c r="H535" t="s">
        <v>36</v>
      </c>
      <c r="I535" t="s">
        <v>87</v>
      </c>
      <c r="J535" t="s">
        <v>20</v>
      </c>
      <c r="K535" t="s">
        <v>44</v>
      </c>
      <c r="L535">
        <v>2</v>
      </c>
    </row>
    <row r="536" spans="1:12" ht="15.75" hidden="1" customHeight="1" x14ac:dyDescent="0.15">
      <c r="A536" t="s">
        <v>478</v>
      </c>
      <c r="B536" t="s">
        <v>479</v>
      </c>
      <c r="C536" t="s">
        <v>480</v>
      </c>
      <c r="D536" t="s">
        <v>481</v>
      </c>
      <c r="E536" t="s">
        <v>482</v>
      </c>
      <c r="F536" t="s">
        <v>16</v>
      </c>
      <c r="G536" t="s">
        <v>17</v>
      </c>
      <c r="H536" t="s">
        <v>36</v>
      </c>
      <c r="I536" t="s">
        <v>87</v>
      </c>
      <c r="J536" t="s">
        <v>20</v>
      </c>
      <c r="K536" t="s">
        <v>44</v>
      </c>
      <c r="L536">
        <v>3</v>
      </c>
    </row>
    <row r="537" spans="1:12" ht="15.75" customHeight="1" x14ac:dyDescent="0.15">
      <c r="A537" t="s">
        <v>2232</v>
      </c>
      <c r="B537" t="s">
        <v>2233</v>
      </c>
      <c r="C537" t="s">
        <v>2234</v>
      </c>
      <c r="D537" t="s">
        <v>2235</v>
      </c>
      <c r="E537" t="s">
        <v>2236</v>
      </c>
      <c r="F537" t="s">
        <v>27</v>
      </c>
      <c r="G537" t="s">
        <v>17</v>
      </c>
      <c r="H537" t="s">
        <v>28</v>
      </c>
      <c r="I537" t="s">
        <v>43</v>
      </c>
      <c r="J537" t="s">
        <v>30</v>
      </c>
      <c r="K537" t="s">
        <v>44</v>
      </c>
    </row>
    <row r="538" spans="1:12" ht="15.75" hidden="1" customHeight="1" x14ac:dyDescent="0.15">
      <c r="A538" t="s">
        <v>627</v>
      </c>
      <c r="B538" t="s">
        <v>628</v>
      </c>
      <c r="C538" t="s">
        <v>629</v>
      </c>
      <c r="D538" t="s">
        <v>630</v>
      </c>
      <c r="E538" t="s">
        <v>631</v>
      </c>
      <c r="F538" t="s">
        <v>16</v>
      </c>
      <c r="G538" t="s">
        <v>17</v>
      </c>
      <c r="H538" t="s">
        <v>36</v>
      </c>
      <c r="I538" t="s">
        <v>87</v>
      </c>
      <c r="J538" t="s">
        <v>20</v>
      </c>
      <c r="K538" t="s">
        <v>44</v>
      </c>
      <c r="L538">
        <v>4</v>
      </c>
    </row>
    <row r="539" spans="1:12" ht="15.75" hidden="1" customHeight="1" x14ac:dyDescent="0.15">
      <c r="A539" t="s">
        <v>1603</v>
      </c>
      <c r="B539" t="s">
        <v>1604</v>
      </c>
      <c r="C539" t="s">
        <v>1605</v>
      </c>
      <c r="D539" t="s">
        <v>1606</v>
      </c>
      <c r="E539" t="s">
        <v>1607</v>
      </c>
      <c r="F539" t="s">
        <v>16</v>
      </c>
      <c r="G539" t="s">
        <v>17</v>
      </c>
      <c r="H539" t="s">
        <v>36</v>
      </c>
      <c r="I539" t="s">
        <v>87</v>
      </c>
      <c r="J539" t="s">
        <v>20</v>
      </c>
      <c r="K539" t="s">
        <v>44</v>
      </c>
      <c r="L539">
        <v>5</v>
      </c>
    </row>
    <row r="540" spans="1:12" ht="15.75" hidden="1" customHeight="1" x14ac:dyDescent="0.15">
      <c r="A540" t="s">
        <v>2912</v>
      </c>
      <c r="B540" t="s">
        <v>2913</v>
      </c>
      <c r="C540" t="s">
        <v>2914</v>
      </c>
      <c r="D540" t="s">
        <v>2915</v>
      </c>
      <c r="E540" t="s">
        <v>2914</v>
      </c>
      <c r="F540" t="s">
        <v>27</v>
      </c>
      <c r="G540" t="s">
        <v>1442</v>
      </c>
      <c r="H540" t="s">
        <v>28</v>
      </c>
      <c r="I540" t="s">
        <v>87</v>
      </c>
      <c r="J540" t="s">
        <v>20</v>
      </c>
      <c r="K540" t="s">
        <v>44</v>
      </c>
    </row>
    <row r="541" spans="1:12" ht="15.75" hidden="1" customHeight="1" x14ac:dyDescent="0.15">
      <c r="A541" t="s">
        <v>2222</v>
      </c>
      <c r="B541" t="s">
        <v>2223</v>
      </c>
      <c r="C541" t="s">
        <v>2224</v>
      </c>
      <c r="D541" t="s">
        <v>2225</v>
      </c>
      <c r="E541" t="s">
        <v>2226</v>
      </c>
      <c r="F541" t="s">
        <v>27</v>
      </c>
      <c r="G541" t="s">
        <v>17</v>
      </c>
      <c r="H541" t="s">
        <v>28</v>
      </c>
      <c r="I541" t="s">
        <v>58</v>
      </c>
      <c r="J541" t="s">
        <v>51</v>
      </c>
      <c r="K541" t="s">
        <v>59</v>
      </c>
    </row>
    <row r="542" spans="1:12" ht="15.75" hidden="1" customHeight="1" x14ac:dyDescent="0.15">
      <c r="A542" t="s">
        <v>2916</v>
      </c>
      <c r="B542" t="s">
        <v>2917</v>
      </c>
      <c r="C542" t="s">
        <v>2914</v>
      </c>
      <c r="D542" t="s">
        <v>2918</v>
      </c>
      <c r="E542" t="s">
        <v>2914</v>
      </c>
      <c r="F542" t="s">
        <v>27</v>
      </c>
      <c r="G542" t="s">
        <v>1442</v>
      </c>
      <c r="H542" t="s">
        <v>28</v>
      </c>
      <c r="I542" t="s">
        <v>87</v>
      </c>
      <c r="J542" t="s">
        <v>20</v>
      </c>
      <c r="K542" t="s">
        <v>44</v>
      </c>
    </row>
    <row r="543" spans="1:12" ht="15.75" hidden="1" customHeight="1" x14ac:dyDescent="0.15">
      <c r="A543" t="s">
        <v>2919</v>
      </c>
      <c r="B543" t="s">
        <v>2920</v>
      </c>
      <c r="C543" t="s">
        <v>2914</v>
      </c>
      <c r="D543" t="s">
        <v>2921</v>
      </c>
      <c r="E543" t="s">
        <v>2914</v>
      </c>
      <c r="F543" t="s">
        <v>27</v>
      </c>
      <c r="G543" t="s">
        <v>1442</v>
      </c>
      <c r="H543" t="s">
        <v>28</v>
      </c>
      <c r="I543" t="s">
        <v>87</v>
      </c>
      <c r="J543" t="s">
        <v>20</v>
      </c>
      <c r="K543" t="s">
        <v>44</v>
      </c>
    </row>
    <row r="544" spans="1:12" ht="15.75" hidden="1" customHeight="1" x14ac:dyDescent="0.15">
      <c r="A544" t="s">
        <v>2252</v>
      </c>
      <c r="B544" t="s">
        <v>2253</v>
      </c>
      <c r="C544" t="s">
        <v>2254</v>
      </c>
      <c r="D544" t="s">
        <v>2255</v>
      </c>
      <c r="E544" t="s">
        <v>2256</v>
      </c>
      <c r="F544" t="s">
        <v>27</v>
      </c>
      <c r="G544" t="s">
        <v>17</v>
      </c>
      <c r="H544" t="s">
        <v>28</v>
      </c>
      <c r="I544" t="s">
        <v>58</v>
      </c>
      <c r="J544" t="s">
        <v>51</v>
      </c>
      <c r="K544" t="s">
        <v>59</v>
      </c>
    </row>
    <row r="545" spans="1:11" ht="15.75" hidden="1" customHeight="1" x14ac:dyDescent="0.15">
      <c r="A545" t="s">
        <v>2262</v>
      </c>
      <c r="B545" t="s">
        <v>2263</v>
      </c>
      <c r="C545" t="s">
        <v>2264</v>
      </c>
      <c r="D545" t="s">
        <v>2265</v>
      </c>
      <c r="E545" t="s">
        <v>2266</v>
      </c>
      <c r="F545" t="s">
        <v>27</v>
      </c>
      <c r="G545" t="s">
        <v>17</v>
      </c>
      <c r="H545" t="s">
        <v>28</v>
      </c>
      <c r="I545" t="s">
        <v>58</v>
      </c>
      <c r="J545" t="s">
        <v>51</v>
      </c>
      <c r="K545" t="s">
        <v>59</v>
      </c>
    </row>
    <row r="546" spans="1:11" ht="15.75" hidden="1" customHeight="1" x14ac:dyDescent="0.15">
      <c r="A546" t="s">
        <v>2922</v>
      </c>
      <c r="B546" t="s">
        <v>2923</v>
      </c>
      <c r="C546" t="s">
        <v>2914</v>
      </c>
      <c r="D546" t="s">
        <v>2924</v>
      </c>
      <c r="E546" t="s">
        <v>2914</v>
      </c>
      <c r="F546" t="s">
        <v>27</v>
      </c>
      <c r="G546" t="s">
        <v>1442</v>
      </c>
      <c r="H546" t="s">
        <v>28</v>
      </c>
      <c r="I546" t="s">
        <v>87</v>
      </c>
      <c r="J546" t="s">
        <v>20</v>
      </c>
      <c r="K546" t="s">
        <v>44</v>
      </c>
    </row>
    <row r="547" spans="1:11" ht="15.75" hidden="1" customHeight="1" x14ac:dyDescent="0.15">
      <c r="A547" t="s">
        <v>2271</v>
      </c>
      <c r="B547" t="s">
        <v>2272</v>
      </c>
      <c r="C547" t="s">
        <v>2273</v>
      </c>
      <c r="D547" t="s">
        <v>2274</v>
      </c>
      <c r="E547" t="s">
        <v>2275</v>
      </c>
      <c r="F547" t="s">
        <v>27</v>
      </c>
      <c r="G547" t="s">
        <v>17</v>
      </c>
      <c r="H547" t="s">
        <v>28</v>
      </c>
      <c r="I547" t="s">
        <v>58</v>
      </c>
      <c r="J547" t="s">
        <v>51</v>
      </c>
      <c r="K547" t="s">
        <v>59</v>
      </c>
    </row>
    <row r="548" spans="1:11" ht="15.75" hidden="1" customHeight="1" x14ac:dyDescent="0.15">
      <c r="A548" t="s">
        <v>2925</v>
      </c>
      <c r="B548" t="s">
        <v>2926</v>
      </c>
      <c r="C548" t="s">
        <v>2914</v>
      </c>
      <c r="D548" t="s">
        <v>2927</v>
      </c>
      <c r="E548" t="s">
        <v>2914</v>
      </c>
      <c r="F548" t="s">
        <v>27</v>
      </c>
      <c r="G548" t="s">
        <v>1442</v>
      </c>
      <c r="H548" t="s">
        <v>28</v>
      </c>
      <c r="I548" t="s">
        <v>87</v>
      </c>
      <c r="J548" t="s">
        <v>20</v>
      </c>
      <c r="K548" t="s">
        <v>44</v>
      </c>
    </row>
    <row r="549" spans="1:11" ht="15.75" hidden="1" customHeight="1" x14ac:dyDescent="0.15">
      <c r="A549" t="s">
        <v>2928</v>
      </c>
      <c r="B549" t="s">
        <v>2929</v>
      </c>
      <c r="C549" t="s">
        <v>2914</v>
      </c>
      <c r="D549" t="s">
        <v>2930</v>
      </c>
      <c r="E549" t="s">
        <v>2914</v>
      </c>
      <c r="F549" t="s">
        <v>27</v>
      </c>
      <c r="G549" t="s">
        <v>1442</v>
      </c>
      <c r="H549" t="s">
        <v>28</v>
      </c>
      <c r="I549" t="s">
        <v>87</v>
      </c>
      <c r="J549" t="s">
        <v>20</v>
      </c>
      <c r="K549" t="s">
        <v>44</v>
      </c>
    </row>
    <row r="550" spans="1:11" ht="15.75" hidden="1" customHeight="1" x14ac:dyDescent="0.15">
      <c r="A550" t="s">
        <v>2931</v>
      </c>
      <c r="B550" t="s">
        <v>2932</v>
      </c>
      <c r="C550" t="s">
        <v>2914</v>
      </c>
      <c r="D550" t="s">
        <v>2933</v>
      </c>
      <c r="E550" t="s">
        <v>2914</v>
      </c>
      <c r="F550" t="s">
        <v>27</v>
      </c>
      <c r="G550" t="s">
        <v>1442</v>
      </c>
      <c r="H550" t="s">
        <v>28</v>
      </c>
      <c r="I550" t="s">
        <v>87</v>
      </c>
      <c r="J550" t="s">
        <v>20</v>
      </c>
      <c r="K550" t="s">
        <v>44</v>
      </c>
    </row>
    <row r="551" spans="1:11" ht="15.75" hidden="1" customHeight="1" x14ac:dyDescent="0.15">
      <c r="A551" t="s">
        <v>2281</v>
      </c>
      <c r="B551" t="s">
        <v>2282</v>
      </c>
      <c r="C551" t="s">
        <v>2283</v>
      </c>
      <c r="D551" t="s">
        <v>2284</v>
      </c>
      <c r="E551" t="s">
        <v>2285</v>
      </c>
      <c r="F551" t="s">
        <v>27</v>
      </c>
      <c r="G551" t="s">
        <v>17</v>
      </c>
      <c r="H551" t="s">
        <v>28</v>
      </c>
      <c r="I551" t="s">
        <v>58</v>
      </c>
      <c r="J551" t="s">
        <v>51</v>
      </c>
      <c r="K551" t="s">
        <v>59</v>
      </c>
    </row>
    <row r="552" spans="1:11" ht="15.75" hidden="1" customHeight="1" x14ac:dyDescent="0.15">
      <c r="A552" t="s">
        <v>2291</v>
      </c>
      <c r="B552" t="s">
        <v>2292</v>
      </c>
      <c r="C552" t="s">
        <v>2293</v>
      </c>
      <c r="D552" t="s">
        <v>2294</v>
      </c>
      <c r="E552" t="s">
        <v>2295</v>
      </c>
      <c r="F552" t="s">
        <v>27</v>
      </c>
      <c r="G552" t="s">
        <v>17</v>
      </c>
      <c r="H552" t="s">
        <v>28</v>
      </c>
      <c r="I552" t="s">
        <v>58</v>
      </c>
      <c r="J552" t="s">
        <v>51</v>
      </c>
      <c r="K552" t="s">
        <v>59</v>
      </c>
    </row>
    <row r="553" spans="1:11" ht="15.75" hidden="1" customHeight="1" x14ac:dyDescent="0.15">
      <c r="A553" t="s">
        <v>2344</v>
      </c>
      <c r="B553" t="s">
        <v>2345</v>
      </c>
      <c r="C553" t="s">
        <v>2346</v>
      </c>
      <c r="D553" t="s">
        <v>2347</v>
      </c>
      <c r="E553" t="s">
        <v>2348</v>
      </c>
      <c r="F553" t="s">
        <v>27</v>
      </c>
      <c r="G553" t="s">
        <v>17</v>
      </c>
      <c r="H553" t="s">
        <v>28</v>
      </c>
      <c r="I553" t="s">
        <v>58</v>
      </c>
      <c r="J553" t="s">
        <v>51</v>
      </c>
      <c r="K553" t="s">
        <v>59</v>
      </c>
    </row>
    <row r="554" spans="1:11" ht="15.75" hidden="1" customHeight="1" x14ac:dyDescent="0.15">
      <c r="A554" t="s">
        <v>2369</v>
      </c>
      <c r="B554" t="s">
        <v>2370</v>
      </c>
      <c r="C554" t="s">
        <v>2371</v>
      </c>
      <c r="D554" t="s">
        <v>2372</v>
      </c>
      <c r="E554" t="s">
        <v>2373</v>
      </c>
      <c r="F554" t="s">
        <v>27</v>
      </c>
      <c r="G554" t="s">
        <v>17</v>
      </c>
      <c r="H554" t="s">
        <v>28</v>
      </c>
      <c r="I554" t="s">
        <v>58</v>
      </c>
      <c r="J554" t="s">
        <v>51</v>
      </c>
      <c r="K554" t="s">
        <v>59</v>
      </c>
    </row>
    <row r="555" spans="1:11" ht="15.75" hidden="1" customHeight="1" x14ac:dyDescent="0.15">
      <c r="A555" t="s">
        <v>2934</v>
      </c>
      <c r="B555" t="s">
        <v>2935</v>
      </c>
      <c r="C555" t="s">
        <v>2914</v>
      </c>
      <c r="D555" t="s">
        <v>2936</v>
      </c>
      <c r="E555" t="s">
        <v>2914</v>
      </c>
      <c r="F555" t="s">
        <v>27</v>
      </c>
      <c r="G555" t="s">
        <v>1442</v>
      </c>
      <c r="H555" t="s">
        <v>28</v>
      </c>
      <c r="I555" t="s">
        <v>87</v>
      </c>
      <c r="J555" t="s">
        <v>20</v>
      </c>
      <c r="K555" t="s">
        <v>44</v>
      </c>
    </row>
    <row r="556" spans="1:11" ht="15.75" hidden="1" customHeight="1" x14ac:dyDescent="0.15">
      <c r="A556" t="s">
        <v>2937</v>
      </c>
      <c r="B556" t="s">
        <v>2938</v>
      </c>
      <c r="C556" t="s">
        <v>2914</v>
      </c>
      <c r="D556" t="s">
        <v>2939</v>
      </c>
      <c r="E556" t="s">
        <v>2914</v>
      </c>
      <c r="F556" t="s">
        <v>27</v>
      </c>
      <c r="G556" t="s">
        <v>1442</v>
      </c>
      <c r="H556" t="s">
        <v>28</v>
      </c>
      <c r="I556" t="s">
        <v>87</v>
      </c>
      <c r="J556" t="s">
        <v>20</v>
      </c>
      <c r="K556" t="s">
        <v>44</v>
      </c>
    </row>
    <row r="557" spans="1:11" ht="15.75" hidden="1" customHeight="1" x14ac:dyDescent="0.15">
      <c r="A557" t="s">
        <v>2940</v>
      </c>
      <c r="B557" t="s">
        <v>2941</v>
      </c>
      <c r="C557" t="s">
        <v>2914</v>
      </c>
      <c r="D557" t="s">
        <v>2942</v>
      </c>
      <c r="E557" t="s">
        <v>2914</v>
      </c>
      <c r="F557" t="s">
        <v>27</v>
      </c>
      <c r="G557" t="s">
        <v>1442</v>
      </c>
      <c r="H557" t="s">
        <v>28</v>
      </c>
      <c r="I557" t="s">
        <v>87</v>
      </c>
      <c r="J557" t="s">
        <v>20</v>
      </c>
      <c r="K557" t="s">
        <v>44</v>
      </c>
    </row>
    <row r="558" spans="1:11" ht="15.75" hidden="1" customHeight="1" x14ac:dyDescent="0.15">
      <c r="A558" t="s">
        <v>2943</v>
      </c>
      <c r="B558" t="s">
        <v>2944</v>
      </c>
      <c r="C558" t="s">
        <v>2914</v>
      </c>
      <c r="D558" t="s">
        <v>2945</v>
      </c>
      <c r="E558" t="s">
        <v>2914</v>
      </c>
      <c r="F558" t="s">
        <v>27</v>
      </c>
      <c r="G558" t="s">
        <v>1442</v>
      </c>
      <c r="H558" t="s">
        <v>28</v>
      </c>
      <c r="I558" t="s">
        <v>87</v>
      </c>
      <c r="J558" t="s">
        <v>20</v>
      </c>
      <c r="K558" t="s">
        <v>44</v>
      </c>
    </row>
    <row r="559" spans="1:11" ht="15.75" hidden="1" customHeight="1" x14ac:dyDescent="0.15">
      <c r="A559" t="s">
        <v>2946</v>
      </c>
      <c r="B559" t="s">
        <v>2947</v>
      </c>
      <c r="C559" t="s">
        <v>2914</v>
      </c>
      <c r="D559" t="s">
        <v>2948</v>
      </c>
      <c r="E559" t="s">
        <v>2914</v>
      </c>
      <c r="F559" t="s">
        <v>27</v>
      </c>
      <c r="G559" t="s">
        <v>1442</v>
      </c>
      <c r="H559" t="s">
        <v>28</v>
      </c>
      <c r="I559" t="s">
        <v>87</v>
      </c>
      <c r="J559" t="s">
        <v>20</v>
      </c>
      <c r="K559" t="s">
        <v>44</v>
      </c>
    </row>
    <row r="560" spans="1:11" ht="15.75" hidden="1" customHeight="1" x14ac:dyDescent="0.15">
      <c r="A560" t="s">
        <v>2949</v>
      </c>
      <c r="B560" t="s">
        <v>2950</v>
      </c>
      <c r="C560" t="s">
        <v>2914</v>
      </c>
      <c r="D560" t="s">
        <v>2951</v>
      </c>
      <c r="E560" t="s">
        <v>2914</v>
      </c>
      <c r="F560" t="s">
        <v>27</v>
      </c>
      <c r="G560" t="s">
        <v>1442</v>
      </c>
      <c r="H560" t="s">
        <v>28</v>
      </c>
      <c r="I560" t="s">
        <v>87</v>
      </c>
      <c r="J560" t="s">
        <v>20</v>
      </c>
      <c r="K560" t="s">
        <v>44</v>
      </c>
    </row>
    <row r="561" spans="1:11" ht="15.75" hidden="1" customHeight="1" x14ac:dyDescent="0.15">
      <c r="A561" t="s">
        <v>2952</v>
      </c>
      <c r="B561" t="s">
        <v>2953</v>
      </c>
      <c r="C561" t="s">
        <v>2914</v>
      </c>
      <c r="D561" t="s">
        <v>2954</v>
      </c>
      <c r="E561" t="s">
        <v>2914</v>
      </c>
      <c r="F561" t="s">
        <v>27</v>
      </c>
      <c r="G561" t="s">
        <v>1442</v>
      </c>
      <c r="H561" t="s">
        <v>28</v>
      </c>
      <c r="I561" t="s">
        <v>87</v>
      </c>
      <c r="J561" t="s">
        <v>20</v>
      </c>
      <c r="K561" t="s">
        <v>44</v>
      </c>
    </row>
    <row r="562" spans="1:11" ht="15.75" hidden="1" customHeight="1" x14ac:dyDescent="0.15">
      <c r="A562" t="s">
        <v>2955</v>
      </c>
      <c r="B562" t="s">
        <v>2956</v>
      </c>
      <c r="C562" t="s">
        <v>2914</v>
      </c>
      <c r="D562" t="s">
        <v>2957</v>
      </c>
      <c r="E562" t="s">
        <v>2914</v>
      </c>
      <c r="F562" t="s">
        <v>27</v>
      </c>
      <c r="G562" t="s">
        <v>1442</v>
      </c>
      <c r="H562" t="s">
        <v>28</v>
      </c>
      <c r="I562" t="s">
        <v>87</v>
      </c>
      <c r="J562" t="s">
        <v>20</v>
      </c>
      <c r="K562" t="s">
        <v>44</v>
      </c>
    </row>
    <row r="563" spans="1:11" ht="15.75" hidden="1" customHeight="1" x14ac:dyDescent="0.15">
      <c r="A563" t="s">
        <v>2958</v>
      </c>
      <c r="B563" t="s">
        <v>2959</v>
      </c>
      <c r="C563" t="s">
        <v>2914</v>
      </c>
      <c r="D563" t="s">
        <v>2960</v>
      </c>
      <c r="E563" t="s">
        <v>2914</v>
      </c>
      <c r="F563" t="s">
        <v>27</v>
      </c>
      <c r="G563" t="s">
        <v>1442</v>
      </c>
      <c r="H563" t="s">
        <v>28</v>
      </c>
      <c r="I563" t="s">
        <v>87</v>
      </c>
      <c r="J563" t="s">
        <v>20</v>
      </c>
      <c r="K563" t="s">
        <v>44</v>
      </c>
    </row>
    <row r="564" spans="1:11" ht="15.75" hidden="1" customHeight="1" x14ac:dyDescent="0.15">
      <c r="A564" t="s">
        <v>2961</v>
      </c>
      <c r="B564" t="s">
        <v>2962</v>
      </c>
      <c r="C564" t="s">
        <v>2914</v>
      </c>
      <c r="D564" t="s">
        <v>2963</v>
      </c>
      <c r="E564" t="s">
        <v>2914</v>
      </c>
      <c r="F564" t="s">
        <v>27</v>
      </c>
      <c r="G564" t="s">
        <v>1442</v>
      </c>
      <c r="H564" t="s">
        <v>28</v>
      </c>
      <c r="I564" t="s">
        <v>87</v>
      </c>
      <c r="J564" t="s">
        <v>20</v>
      </c>
      <c r="K564" t="s">
        <v>44</v>
      </c>
    </row>
    <row r="565" spans="1:11" ht="15.75" hidden="1" customHeight="1" x14ac:dyDescent="0.15">
      <c r="A565" t="s">
        <v>2964</v>
      </c>
      <c r="B565" t="s">
        <v>2965</v>
      </c>
      <c r="C565" t="s">
        <v>2914</v>
      </c>
      <c r="D565" t="s">
        <v>2966</v>
      </c>
      <c r="E565" t="s">
        <v>2914</v>
      </c>
      <c r="F565" t="s">
        <v>27</v>
      </c>
      <c r="G565" t="s">
        <v>1442</v>
      </c>
      <c r="H565" t="s">
        <v>28</v>
      </c>
      <c r="I565" t="s">
        <v>87</v>
      </c>
      <c r="J565" t="s">
        <v>20</v>
      </c>
      <c r="K565" t="s">
        <v>44</v>
      </c>
    </row>
    <row r="566" spans="1:11" ht="15.75" hidden="1" customHeight="1" x14ac:dyDescent="0.15">
      <c r="A566" t="s">
        <v>2967</v>
      </c>
      <c r="B566" t="s">
        <v>2968</v>
      </c>
      <c r="C566" t="s">
        <v>2914</v>
      </c>
      <c r="D566" t="s">
        <v>2969</v>
      </c>
      <c r="E566" t="s">
        <v>2914</v>
      </c>
      <c r="F566" t="s">
        <v>27</v>
      </c>
      <c r="G566" t="s">
        <v>1442</v>
      </c>
      <c r="H566" t="s">
        <v>28</v>
      </c>
      <c r="I566" t="s">
        <v>87</v>
      </c>
      <c r="J566" t="s">
        <v>20</v>
      </c>
      <c r="K566" t="s">
        <v>44</v>
      </c>
    </row>
    <row r="567" spans="1:11" ht="15.75" hidden="1" customHeight="1" x14ac:dyDescent="0.15">
      <c r="A567" t="s">
        <v>2970</v>
      </c>
      <c r="B567" t="s">
        <v>2971</v>
      </c>
      <c r="C567" t="s">
        <v>2914</v>
      </c>
      <c r="D567" t="s">
        <v>2972</v>
      </c>
      <c r="E567" t="s">
        <v>2914</v>
      </c>
      <c r="F567" t="s">
        <v>27</v>
      </c>
      <c r="G567" t="s">
        <v>1442</v>
      </c>
      <c r="H567" t="s">
        <v>28</v>
      </c>
      <c r="I567" t="s">
        <v>87</v>
      </c>
      <c r="J567" t="s">
        <v>20</v>
      </c>
      <c r="K567" t="s">
        <v>44</v>
      </c>
    </row>
    <row r="568" spans="1:11" ht="15.75" hidden="1" customHeight="1" x14ac:dyDescent="0.15">
      <c r="A568" t="s">
        <v>2973</v>
      </c>
      <c r="B568" t="s">
        <v>2974</v>
      </c>
      <c r="C568" t="s">
        <v>2914</v>
      </c>
      <c r="D568" t="s">
        <v>2975</v>
      </c>
      <c r="E568" t="s">
        <v>2914</v>
      </c>
      <c r="F568" t="s">
        <v>27</v>
      </c>
      <c r="G568" t="s">
        <v>1442</v>
      </c>
      <c r="H568" t="s">
        <v>28</v>
      </c>
      <c r="I568" t="s">
        <v>87</v>
      </c>
      <c r="J568" t="s">
        <v>20</v>
      </c>
      <c r="K568" t="s">
        <v>44</v>
      </c>
    </row>
    <row r="569" spans="1:11" ht="15.75" hidden="1" customHeight="1" x14ac:dyDescent="0.15">
      <c r="A569" t="s">
        <v>2976</v>
      </c>
      <c r="B569" t="s">
        <v>2977</v>
      </c>
      <c r="C569" t="s">
        <v>2914</v>
      </c>
      <c r="D569" t="s">
        <v>2978</v>
      </c>
      <c r="E569" t="s">
        <v>2914</v>
      </c>
      <c r="F569" t="s">
        <v>27</v>
      </c>
      <c r="G569" t="s">
        <v>1442</v>
      </c>
      <c r="H569" t="s">
        <v>28</v>
      </c>
      <c r="I569" t="s">
        <v>87</v>
      </c>
      <c r="J569" t="s">
        <v>20</v>
      </c>
      <c r="K569" t="s">
        <v>44</v>
      </c>
    </row>
    <row r="570" spans="1:11" ht="15.75" hidden="1" customHeight="1" x14ac:dyDescent="0.15">
      <c r="A570" t="s">
        <v>2979</v>
      </c>
      <c r="B570" t="s">
        <v>2980</v>
      </c>
      <c r="C570" t="s">
        <v>2914</v>
      </c>
      <c r="D570" t="s">
        <v>2981</v>
      </c>
      <c r="E570" t="s">
        <v>2914</v>
      </c>
      <c r="F570" t="s">
        <v>27</v>
      </c>
      <c r="G570" t="s">
        <v>1442</v>
      </c>
      <c r="H570" t="s">
        <v>28</v>
      </c>
      <c r="I570" t="s">
        <v>87</v>
      </c>
      <c r="J570" t="s">
        <v>20</v>
      </c>
      <c r="K570" t="s">
        <v>44</v>
      </c>
    </row>
    <row r="571" spans="1:11" ht="15.75" hidden="1" customHeight="1" x14ac:dyDescent="0.15">
      <c r="A571" t="s">
        <v>2982</v>
      </c>
      <c r="B571" t="s">
        <v>2983</v>
      </c>
      <c r="C571" t="s">
        <v>2914</v>
      </c>
      <c r="D571" t="s">
        <v>2984</v>
      </c>
      <c r="E571" t="s">
        <v>2914</v>
      </c>
      <c r="F571" t="s">
        <v>27</v>
      </c>
      <c r="G571" t="s">
        <v>1442</v>
      </c>
      <c r="H571" t="s">
        <v>28</v>
      </c>
      <c r="I571" t="s">
        <v>87</v>
      </c>
      <c r="J571" t="s">
        <v>20</v>
      </c>
      <c r="K571" t="s">
        <v>44</v>
      </c>
    </row>
    <row r="572" spans="1:11" ht="15.75" hidden="1" customHeight="1" x14ac:dyDescent="0.15">
      <c r="A572" t="s">
        <v>2985</v>
      </c>
      <c r="B572" t="s">
        <v>2986</v>
      </c>
      <c r="C572" t="s">
        <v>2914</v>
      </c>
      <c r="D572" t="s">
        <v>2987</v>
      </c>
      <c r="E572" t="s">
        <v>2914</v>
      </c>
      <c r="F572" t="s">
        <v>27</v>
      </c>
      <c r="G572" t="s">
        <v>1442</v>
      </c>
      <c r="H572" t="s">
        <v>28</v>
      </c>
      <c r="I572" t="s">
        <v>87</v>
      </c>
      <c r="J572" t="s">
        <v>20</v>
      </c>
      <c r="K572" t="s">
        <v>44</v>
      </c>
    </row>
    <row r="573" spans="1:11" ht="15.75" hidden="1" customHeight="1" x14ac:dyDescent="0.15">
      <c r="A573" t="s">
        <v>2988</v>
      </c>
      <c r="B573" t="s">
        <v>2989</v>
      </c>
      <c r="C573" t="s">
        <v>2914</v>
      </c>
      <c r="D573" t="s">
        <v>2990</v>
      </c>
      <c r="E573" t="s">
        <v>2914</v>
      </c>
      <c r="F573" t="s">
        <v>27</v>
      </c>
      <c r="G573" t="s">
        <v>1442</v>
      </c>
      <c r="H573" t="s">
        <v>28</v>
      </c>
      <c r="I573" t="s">
        <v>87</v>
      </c>
      <c r="J573" t="s">
        <v>20</v>
      </c>
      <c r="K573" t="s">
        <v>44</v>
      </c>
    </row>
    <row r="574" spans="1:11" ht="15.75" hidden="1" customHeight="1" x14ac:dyDescent="0.15">
      <c r="A574" t="s">
        <v>2991</v>
      </c>
      <c r="B574" t="s">
        <v>2992</v>
      </c>
      <c r="C574" t="s">
        <v>2914</v>
      </c>
      <c r="D574" t="s">
        <v>2993</v>
      </c>
      <c r="E574" t="s">
        <v>2914</v>
      </c>
      <c r="F574" t="s">
        <v>27</v>
      </c>
      <c r="G574" t="s">
        <v>1442</v>
      </c>
      <c r="H574" t="s">
        <v>28</v>
      </c>
      <c r="I574" t="s">
        <v>87</v>
      </c>
      <c r="J574" t="s">
        <v>20</v>
      </c>
      <c r="K574" t="s">
        <v>44</v>
      </c>
    </row>
    <row r="575" spans="1:11" ht="15.75" customHeight="1" x14ac:dyDescent="0.15">
      <c r="A575" t="s">
        <v>2237</v>
      </c>
      <c r="B575" t="s">
        <v>2238</v>
      </c>
      <c r="C575" t="s">
        <v>2239</v>
      </c>
      <c r="D575" t="s">
        <v>2240</v>
      </c>
      <c r="E575" t="s">
        <v>2241</v>
      </c>
      <c r="F575" t="s">
        <v>27</v>
      </c>
      <c r="G575" t="s">
        <v>17</v>
      </c>
      <c r="H575" t="s">
        <v>28</v>
      </c>
      <c r="I575" t="s">
        <v>43</v>
      </c>
      <c r="J575" t="s">
        <v>30</v>
      </c>
      <c r="K575" t="s">
        <v>44</v>
      </c>
    </row>
    <row r="576" spans="1:11" ht="15.75" hidden="1" customHeight="1" x14ac:dyDescent="0.15">
      <c r="A576" t="s">
        <v>2994</v>
      </c>
      <c r="B576" t="s">
        <v>2995</v>
      </c>
      <c r="C576" t="s">
        <v>2914</v>
      </c>
      <c r="D576" t="s">
        <v>2996</v>
      </c>
      <c r="E576" t="s">
        <v>2914</v>
      </c>
      <c r="F576" t="s">
        <v>27</v>
      </c>
      <c r="G576" t="s">
        <v>1442</v>
      </c>
      <c r="H576" t="s">
        <v>28</v>
      </c>
      <c r="I576" t="s">
        <v>87</v>
      </c>
      <c r="J576" t="s">
        <v>20</v>
      </c>
      <c r="K576" t="s">
        <v>44</v>
      </c>
    </row>
    <row r="577" spans="1:11" ht="15.75" customHeight="1" x14ac:dyDescent="0.15">
      <c r="A577" t="s">
        <v>2247</v>
      </c>
      <c r="B577" t="s">
        <v>2248</v>
      </c>
      <c r="C577" t="s">
        <v>2249</v>
      </c>
      <c r="D577" t="s">
        <v>2250</v>
      </c>
      <c r="E577" t="s">
        <v>2251</v>
      </c>
      <c r="F577" t="s">
        <v>27</v>
      </c>
      <c r="G577" t="s">
        <v>17</v>
      </c>
      <c r="H577" t="s">
        <v>28</v>
      </c>
      <c r="I577" t="s">
        <v>43</v>
      </c>
      <c r="J577" t="s">
        <v>30</v>
      </c>
      <c r="K577" t="s">
        <v>44</v>
      </c>
    </row>
    <row r="578" spans="1:11" ht="15.75" customHeight="1" x14ac:dyDescent="0.15">
      <c r="A578" t="s">
        <v>2286</v>
      </c>
      <c r="B578" t="s">
        <v>2287</v>
      </c>
      <c r="C578" t="s">
        <v>2288</v>
      </c>
      <c r="D578" t="s">
        <v>2289</v>
      </c>
      <c r="E578" t="s">
        <v>2290</v>
      </c>
      <c r="F578" t="s">
        <v>27</v>
      </c>
      <c r="G578" t="s">
        <v>17</v>
      </c>
      <c r="H578" t="s">
        <v>28</v>
      </c>
      <c r="I578" t="s">
        <v>43</v>
      </c>
      <c r="J578" t="s">
        <v>30</v>
      </c>
      <c r="K578" t="s">
        <v>44</v>
      </c>
    </row>
    <row r="579" spans="1:11" ht="15.75" customHeight="1" x14ac:dyDescent="0.15">
      <c r="A579" t="s">
        <v>2306</v>
      </c>
      <c r="B579" t="s">
        <v>2307</v>
      </c>
      <c r="C579" t="s">
        <v>2308</v>
      </c>
      <c r="D579" t="s">
        <v>2309</v>
      </c>
      <c r="E579" t="s">
        <v>2310</v>
      </c>
      <c r="F579" t="s">
        <v>27</v>
      </c>
      <c r="G579" t="s">
        <v>17</v>
      </c>
      <c r="H579" t="s">
        <v>28</v>
      </c>
      <c r="I579" t="s">
        <v>43</v>
      </c>
      <c r="J579" t="s">
        <v>30</v>
      </c>
      <c r="K579" t="s">
        <v>44</v>
      </c>
    </row>
    <row r="580" spans="1:11" ht="15.75" customHeight="1" x14ac:dyDescent="0.15">
      <c r="A580" t="s">
        <v>2340</v>
      </c>
      <c r="B580" t="s">
        <v>2341</v>
      </c>
      <c r="C580" t="s">
        <v>2342</v>
      </c>
      <c r="D580" t="s">
        <v>2343</v>
      </c>
      <c r="E580" t="s">
        <v>1502</v>
      </c>
      <c r="F580" t="s">
        <v>27</v>
      </c>
      <c r="G580" t="s">
        <v>17</v>
      </c>
      <c r="H580" t="s">
        <v>28</v>
      </c>
      <c r="I580" t="s">
        <v>43</v>
      </c>
      <c r="J580" t="s">
        <v>30</v>
      </c>
      <c r="K580" t="s">
        <v>44</v>
      </c>
    </row>
    <row r="581" spans="1:11" ht="15.75" customHeight="1" x14ac:dyDescent="0.15">
      <c r="A581" t="s">
        <v>2349</v>
      </c>
      <c r="B581" t="s">
        <v>2350</v>
      </c>
      <c r="C581" t="s">
        <v>2351</v>
      </c>
      <c r="D581" t="s">
        <v>2352</v>
      </c>
      <c r="E581" t="s">
        <v>2353</v>
      </c>
      <c r="F581" t="s">
        <v>27</v>
      </c>
      <c r="G581" t="s">
        <v>17</v>
      </c>
      <c r="H581" t="s">
        <v>28</v>
      </c>
      <c r="I581" t="s">
        <v>43</v>
      </c>
      <c r="J581" t="s">
        <v>30</v>
      </c>
      <c r="K581" t="s">
        <v>44</v>
      </c>
    </row>
    <row r="582" spans="1:11" ht="15.75" customHeight="1" x14ac:dyDescent="0.15">
      <c r="A582" t="s">
        <v>2354</v>
      </c>
      <c r="B582" t="s">
        <v>2355</v>
      </c>
      <c r="C582" t="s">
        <v>2356</v>
      </c>
      <c r="D582" t="s">
        <v>2357</v>
      </c>
      <c r="E582" t="s">
        <v>2358</v>
      </c>
      <c r="F582" t="s">
        <v>27</v>
      </c>
      <c r="G582" t="s">
        <v>17</v>
      </c>
      <c r="H582" t="s">
        <v>28</v>
      </c>
      <c r="I582" t="s">
        <v>43</v>
      </c>
      <c r="J582" t="s">
        <v>30</v>
      </c>
      <c r="K582" t="s">
        <v>44</v>
      </c>
    </row>
    <row r="583" spans="1:11" ht="15.75" customHeight="1" x14ac:dyDescent="0.15">
      <c r="A583" t="s">
        <v>2374</v>
      </c>
      <c r="B583" t="s">
        <v>2375</v>
      </c>
      <c r="C583" t="s">
        <v>2376</v>
      </c>
      <c r="D583" t="s">
        <v>2377</v>
      </c>
      <c r="E583" t="s">
        <v>2378</v>
      </c>
      <c r="F583" t="s">
        <v>27</v>
      </c>
      <c r="G583" t="s">
        <v>17</v>
      </c>
      <c r="H583" t="s">
        <v>28</v>
      </c>
      <c r="I583" t="s">
        <v>43</v>
      </c>
      <c r="J583" t="s">
        <v>30</v>
      </c>
      <c r="K583" t="s">
        <v>44</v>
      </c>
    </row>
    <row r="584" spans="1:11" ht="15.75" hidden="1" customHeight="1" x14ac:dyDescent="0.15">
      <c r="A584" t="s">
        <v>2997</v>
      </c>
      <c r="B584" t="s">
        <v>2998</v>
      </c>
      <c r="C584" t="s">
        <v>2914</v>
      </c>
      <c r="D584" t="s">
        <v>2999</v>
      </c>
      <c r="E584" t="s">
        <v>2914</v>
      </c>
      <c r="F584" t="s">
        <v>27</v>
      </c>
      <c r="G584" t="s">
        <v>1442</v>
      </c>
      <c r="H584" t="s">
        <v>28</v>
      </c>
      <c r="I584" t="s">
        <v>87</v>
      </c>
      <c r="J584" t="s">
        <v>20</v>
      </c>
      <c r="K584" t="s">
        <v>44</v>
      </c>
    </row>
    <row r="585" spans="1:11" ht="15.75" hidden="1" customHeight="1" x14ac:dyDescent="0.15">
      <c r="A585" t="s">
        <v>3000</v>
      </c>
      <c r="B585" t="s">
        <v>3001</v>
      </c>
      <c r="C585" t="s">
        <v>2914</v>
      </c>
      <c r="D585" t="s">
        <v>3002</v>
      </c>
      <c r="E585" t="s">
        <v>2914</v>
      </c>
      <c r="F585" t="s">
        <v>27</v>
      </c>
      <c r="G585" t="s">
        <v>1442</v>
      </c>
      <c r="H585" t="s">
        <v>28</v>
      </c>
      <c r="I585" t="s">
        <v>87</v>
      </c>
      <c r="J585" t="s">
        <v>20</v>
      </c>
      <c r="K585" t="s">
        <v>44</v>
      </c>
    </row>
    <row r="586" spans="1:11" ht="15.75" hidden="1" customHeight="1" x14ac:dyDescent="0.15">
      <c r="A586" t="s">
        <v>3003</v>
      </c>
      <c r="B586" t="s">
        <v>3004</v>
      </c>
      <c r="C586" t="s">
        <v>2914</v>
      </c>
      <c r="D586" t="s">
        <v>3005</v>
      </c>
      <c r="E586" t="s">
        <v>2914</v>
      </c>
      <c r="F586" t="s">
        <v>27</v>
      </c>
      <c r="G586" t="s">
        <v>1442</v>
      </c>
      <c r="H586" t="s">
        <v>28</v>
      </c>
      <c r="I586" t="s">
        <v>87</v>
      </c>
      <c r="J586" t="s">
        <v>20</v>
      </c>
      <c r="K586" t="s">
        <v>44</v>
      </c>
    </row>
    <row r="587" spans="1:11" ht="15.75" hidden="1" customHeight="1" x14ac:dyDescent="0.15">
      <c r="A587" t="s">
        <v>3006</v>
      </c>
      <c r="B587" t="s">
        <v>3007</v>
      </c>
      <c r="C587" t="s">
        <v>2914</v>
      </c>
      <c r="D587" t="s">
        <v>3008</v>
      </c>
      <c r="E587" t="s">
        <v>2914</v>
      </c>
      <c r="F587" t="s">
        <v>27</v>
      </c>
      <c r="G587" t="s">
        <v>1442</v>
      </c>
      <c r="H587" t="s">
        <v>28</v>
      </c>
      <c r="I587" t="s">
        <v>87</v>
      </c>
      <c r="J587" t="s">
        <v>20</v>
      </c>
      <c r="K587" t="s">
        <v>44</v>
      </c>
    </row>
    <row r="588" spans="1:11" ht="15.75" hidden="1" customHeight="1" x14ac:dyDescent="0.15">
      <c r="A588" t="s">
        <v>3009</v>
      </c>
      <c r="B588" t="s">
        <v>3010</v>
      </c>
      <c r="C588" t="s">
        <v>2914</v>
      </c>
      <c r="D588" t="s">
        <v>3011</v>
      </c>
      <c r="E588" t="s">
        <v>2914</v>
      </c>
      <c r="F588" t="s">
        <v>27</v>
      </c>
      <c r="G588" t="s">
        <v>1442</v>
      </c>
      <c r="H588" t="s">
        <v>28</v>
      </c>
      <c r="I588" t="s">
        <v>87</v>
      </c>
      <c r="J588" t="s">
        <v>20</v>
      </c>
      <c r="K588" t="s">
        <v>44</v>
      </c>
    </row>
    <row r="589" spans="1:11" ht="15.75" hidden="1" customHeight="1" x14ac:dyDescent="0.15">
      <c r="A589" t="s">
        <v>3012</v>
      </c>
      <c r="B589" t="s">
        <v>3013</v>
      </c>
      <c r="C589" t="s">
        <v>2914</v>
      </c>
      <c r="D589" t="s">
        <v>3014</v>
      </c>
      <c r="E589" t="s">
        <v>2914</v>
      </c>
      <c r="F589" t="s">
        <v>27</v>
      </c>
      <c r="G589" t="s">
        <v>1442</v>
      </c>
      <c r="H589" t="s">
        <v>28</v>
      </c>
      <c r="I589" t="s">
        <v>87</v>
      </c>
      <c r="J589" t="s">
        <v>20</v>
      </c>
      <c r="K589" t="s">
        <v>44</v>
      </c>
    </row>
    <row r="590" spans="1:11" ht="15.75" hidden="1" customHeight="1" x14ac:dyDescent="0.15">
      <c r="A590" t="s">
        <v>3015</v>
      </c>
      <c r="B590" t="s">
        <v>3016</v>
      </c>
      <c r="C590" t="s">
        <v>2914</v>
      </c>
      <c r="D590" t="s">
        <v>3017</v>
      </c>
      <c r="E590" t="s">
        <v>2914</v>
      </c>
      <c r="F590" t="s">
        <v>27</v>
      </c>
      <c r="G590" t="s">
        <v>1442</v>
      </c>
      <c r="H590" t="s">
        <v>28</v>
      </c>
      <c r="I590" t="s">
        <v>87</v>
      </c>
      <c r="J590" t="s">
        <v>20</v>
      </c>
      <c r="K590" t="s">
        <v>44</v>
      </c>
    </row>
    <row r="591" spans="1:11" ht="15.75" hidden="1" customHeight="1" x14ac:dyDescent="0.15">
      <c r="A591" t="s">
        <v>3018</v>
      </c>
      <c r="B591" t="s">
        <v>3019</v>
      </c>
      <c r="C591" t="s">
        <v>2914</v>
      </c>
      <c r="D591" t="s">
        <v>3020</v>
      </c>
      <c r="E591" t="s">
        <v>2914</v>
      </c>
      <c r="F591" t="s">
        <v>27</v>
      </c>
      <c r="G591" t="s">
        <v>1442</v>
      </c>
      <c r="H591" t="s">
        <v>28</v>
      </c>
      <c r="I591" t="s">
        <v>87</v>
      </c>
      <c r="J591" t="s">
        <v>20</v>
      </c>
      <c r="K591" t="s">
        <v>44</v>
      </c>
    </row>
    <row r="592" spans="1:11" ht="15.75" hidden="1" customHeight="1" x14ac:dyDescent="0.15">
      <c r="A592" t="s">
        <v>3021</v>
      </c>
      <c r="B592" t="s">
        <v>3022</v>
      </c>
      <c r="C592" t="s">
        <v>2914</v>
      </c>
      <c r="D592" t="s">
        <v>3023</v>
      </c>
      <c r="E592" t="s">
        <v>2914</v>
      </c>
      <c r="F592" t="s">
        <v>27</v>
      </c>
      <c r="G592" t="s">
        <v>1442</v>
      </c>
      <c r="H592" t="s">
        <v>28</v>
      </c>
      <c r="I592" t="s">
        <v>87</v>
      </c>
      <c r="J592" t="s">
        <v>20</v>
      </c>
      <c r="K592" t="s">
        <v>44</v>
      </c>
    </row>
    <row r="593" spans="1:11" ht="15.75" hidden="1" customHeight="1" x14ac:dyDescent="0.15">
      <c r="A593" t="s">
        <v>3024</v>
      </c>
      <c r="B593" t="s">
        <v>3025</v>
      </c>
      <c r="C593" t="s">
        <v>2914</v>
      </c>
      <c r="D593" t="s">
        <v>3026</v>
      </c>
      <c r="E593" t="s">
        <v>2914</v>
      </c>
      <c r="F593" t="s">
        <v>27</v>
      </c>
      <c r="G593" t="s">
        <v>1442</v>
      </c>
      <c r="H593" t="s">
        <v>28</v>
      </c>
      <c r="I593" t="s">
        <v>87</v>
      </c>
      <c r="J593" t="s">
        <v>20</v>
      </c>
      <c r="K593" t="s">
        <v>44</v>
      </c>
    </row>
    <row r="594" spans="1:11" ht="15.75" hidden="1" customHeight="1" x14ac:dyDescent="0.15">
      <c r="A594" t="s">
        <v>3027</v>
      </c>
      <c r="B594" t="s">
        <v>3028</v>
      </c>
      <c r="C594" t="s">
        <v>2914</v>
      </c>
      <c r="D594" t="s">
        <v>3029</v>
      </c>
      <c r="E594" t="s">
        <v>2914</v>
      </c>
      <c r="F594" t="s">
        <v>27</v>
      </c>
      <c r="G594" t="s">
        <v>1442</v>
      </c>
      <c r="H594" t="s">
        <v>28</v>
      </c>
      <c r="I594" t="s">
        <v>87</v>
      </c>
      <c r="J594" t="s">
        <v>20</v>
      </c>
      <c r="K594" t="s">
        <v>44</v>
      </c>
    </row>
    <row r="595" spans="1:11" ht="15.75" hidden="1" customHeight="1" x14ac:dyDescent="0.15">
      <c r="A595" t="s">
        <v>3030</v>
      </c>
      <c r="B595" t="s">
        <v>3031</v>
      </c>
      <c r="C595" t="s">
        <v>2914</v>
      </c>
      <c r="D595" t="s">
        <v>3032</v>
      </c>
      <c r="E595" t="s">
        <v>2914</v>
      </c>
      <c r="F595" t="s">
        <v>27</v>
      </c>
      <c r="G595" t="s">
        <v>1442</v>
      </c>
      <c r="H595" t="s">
        <v>28</v>
      </c>
      <c r="I595" t="s">
        <v>87</v>
      </c>
      <c r="J595" t="s">
        <v>20</v>
      </c>
      <c r="K595" t="s">
        <v>44</v>
      </c>
    </row>
    <row r="596" spans="1:11" ht="15.75" hidden="1" customHeight="1" x14ac:dyDescent="0.15">
      <c r="A596" t="s">
        <v>3033</v>
      </c>
      <c r="B596" t="s">
        <v>3034</v>
      </c>
      <c r="C596" t="s">
        <v>2914</v>
      </c>
      <c r="D596" t="s">
        <v>3035</v>
      </c>
      <c r="E596" t="s">
        <v>2914</v>
      </c>
      <c r="F596" t="s">
        <v>27</v>
      </c>
      <c r="G596" t="s">
        <v>1442</v>
      </c>
      <c r="H596" t="s">
        <v>28</v>
      </c>
      <c r="I596" t="s">
        <v>87</v>
      </c>
      <c r="J596" t="s">
        <v>20</v>
      </c>
      <c r="K596" t="s">
        <v>44</v>
      </c>
    </row>
    <row r="597" spans="1:11" ht="15.75" hidden="1" customHeight="1" x14ac:dyDescent="0.15">
      <c r="A597" t="s">
        <v>3036</v>
      </c>
      <c r="B597" t="s">
        <v>3037</v>
      </c>
      <c r="C597" t="s">
        <v>2914</v>
      </c>
      <c r="D597" t="s">
        <v>3038</v>
      </c>
      <c r="E597" t="s">
        <v>2914</v>
      </c>
      <c r="F597" t="s">
        <v>27</v>
      </c>
      <c r="G597" t="s">
        <v>1442</v>
      </c>
      <c r="H597" t="s">
        <v>28</v>
      </c>
      <c r="I597" t="s">
        <v>87</v>
      </c>
      <c r="J597" t="s">
        <v>20</v>
      </c>
      <c r="K597" t="s">
        <v>44</v>
      </c>
    </row>
    <row r="598" spans="1:11" ht="15.75" hidden="1" customHeight="1" x14ac:dyDescent="0.15">
      <c r="A598" t="s">
        <v>3039</v>
      </c>
      <c r="B598" t="s">
        <v>3040</v>
      </c>
      <c r="C598" t="s">
        <v>2914</v>
      </c>
      <c r="D598" t="s">
        <v>3041</v>
      </c>
      <c r="E598" t="s">
        <v>2914</v>
      </c>
      <c r="F598" t="s">
        <v>27</v>
      </c>
      <c r="G598" t="s">
        <v>1442</v>
      </c>
      <c r="H598" t="s">
        <v>28</v>
      </c>
      <c r="I598" t="s">
        <v>87</v>
      </c>
      <c r="J598" t="s">
        <v>20</v>
      </c>
      <c r="K598" t="s">
        <v>44</v>
      </c>
    </row>
    <row r="599" spans="1:11" ht="15.75" hidden="1" customHeight="1" x14ac:dyDescent="0.15">
      <c r="A599" t="s">
        <v>3042</v>
      </c>
      <c r="B599" t="s">
        <v>3043</v>
      </c>
      <c r="C599" t="s">
        <v>2914</v>
      </c>
      <c r="D599" t="s">
        <v>3044</v>
      </c>
      <c r="E599" t="s">
        <v>2914</v>
      </c>
      <c r="F599" t="s">
        <v>27</v>
      </c>
      <c r="G599" t="s">
        <v>1442</v>
      </c>
      <c r="H599" t="s">
        <v>28</v>
      </c>
      <c r="I599" t="s">
        <v>87</v>
      </c>
      <c r="J599" t="s">
        <v>20</v>
      </c>
      <c r="K599" t="s">
        <v>44</v>
      </c>
    </row>
    <row r="600" spans="1:11" ht="15.75" hidden="1" customHeight="1" x14ac:dyDescent="0.15">
      <c r="A600" t="s">
        <v>3045</v>
      </c>
      <c r="B600" t="s">
        <v>3046</v>
      </c>
      <c r="C600" t="s">
        <v>2914</v>
      </c>
      <c r="D600" t="s">
        <v>3047</v>
      </c>
      <c r="E600" t="s">
        <v>2914</v>
      </c>
      <c r="F600" t="s">
        <v>27</v>
      </c>
      <c r="G600" t="s">
        <v>1442</v>
      </c>
      <c r="H600" t="s">
        <v>28</v>
      </c>
      <c r="I600" t="s">
        <v>87</v>
      </c>
      <c r="J600" t="s">
        <v>20</v>
      </c>
      <c r="K600" t="s">
        <v>44</v>
      </c>
    </row>
    <row r="601" spans="1:11" ht="15.75" hidden="1" customHeight="1" x14ac:dyDescent="0.15">
      <c r="A601" t="s">
        <v>3048</v>
      </c>
      <c r="B601" t="s">
        <v>3049</v>
      </c>
      <c r="C601" t="s">
        <v>2914</v>
      </c>
      <c r="D601" t="s">
        <v>3050</v>
      </c>
      <c r="E601" t="s">
        <v>2914</v>
      </c>
      <c r="F601" t="s">
        <v>27</v>
      </c>
      <c r="G601" t="s">
        <v>1442</v>
      </c>
      <c r="H601" t="s">
        <v>28</v>
      </c>
      <c r="I601" t="s">
        <v>87</v>
      </c>
      <c r="J601" t="s">
        <v>20</v>
      </c>
      <c r="K601" t="s">
        <v>44</v>
      </c>
    </row>
    <row r="602" spans="1:11" ht="15.75" hidden="1" customHeight="1" x14ac:dyDescent="0.15">
      <c r="A602" t="s">
        <v>3051</v>
      </c>
      <c r="B602" t="s">
        <v>3052</v>
      </c>
      <c r="C602" t="s">
        <v>2914</v>
      </c>
      <c r="D602" t="s">
        <v>3053</v>
      </c>
      <c r="E602" t="s">
        <v>2914</v>
      </c>
      <c r="F602" t="s">
        <v>27</v>
      </c>
      <c r="G602" t="s">
        <v>1442</v>
      </c>
      <c r="H602" t="s">
        <v>28</v>
      </c>
      <c r="I602" t="s">
        <v>87</v>
      </c>
      <c r="J602" t="s">
        <v>20</v>
      </c>
      <c r="K602" t="s">
        <v>44</v>
      </c>
    </row>
    <row r="603" spans="1:11" ht="15.75" hidden="1" customHeight="1" x14ac:dyDescent="0.15">
      <c r="A603" t="s">
        <v>3054</v>
      </c>
      <c r="B603" t="s">
        <v>3055</v>
      </c>
      <c r="C603" t="s">
        <v>2914</v>
      </c>
      <c r="D603" t="s">
        <v>1120</v>
      </c>
      <c r="E603" t="s">
        <v>2914</v>
      </c>
      <c r="F603" t="s">
        <v>27</v>
      </c>
      <c r="G603" t="s">
        <v>1442</v>
      </c>
      <c r="H603" t="s">
        <v>28</v>
      </c>
      <c r="I603" t="s">
        <v>87</v>
      </c>
      <c r="J603" t="s">
        <v>20</v>
      </c>
      <c r="K603" t="s">
        <v>44</v>
      </c>
    </row>
    <row r="604" spans="1:11" ht="15.75" hidden="1" customHeight="1" x14ac:dyDescent="0.15">
      <c r="A604" t="s">
        <v>3056</v>
      </c>
      <c r="B604" t="s">
        <v>3057</v>
      </c>
      <c r="C604" t="s">
        <v>2914</v>
      </c>
      <c r="D604" t="s">
        <v>3058</v>
      </c>
      <c r="E604" t="s">
        <v>2914</v>
      </c>
      <c r="F604" t="s">
        <v>27</v>
      </c>
      <c r="G604" t="s">
        <v>1442</v>
      </c>
      <c r="H604" t="s">
        <v>28</v>
      </c>
      <c r="I604" t="s">
        <v>87</v>
      </c>
      <c r="J604" t="s">
        <v>20</v>
      </c>
      <c r="K604" t="s">
        <v>44</v>
      </c>
    </row>
    <row r="605" spans="1:11" ht="15.75" hidden="1" customHeight="1" x14ac:dyDescent="0.15">
      <c r="A605" t="s">
        <v>3059</v>
      </c>
      <c r="B605" t="s">
        <v>3060</v>
      </c>
      <c r="C605" t="s">
        <v>2914</v>
      </c>
      <c r="D605" t="s">
        <v>3061</v>
      </c>
      <c r="E605" t="s">
        <v>2914</v>
      </c>
      <c r="F605" t="s">
        <v>27</v>
      </c>
      <c r="G605" t="s">
        <v>1442</v>
      </c>
      <c r="H605" t="s">
        <v>28</v>
      </c>
      <c r="I605" t="s">
        <v>87</v>
      </c>
      <c r="J605" t="s">
        <v>20</v>
      </c>
      <c r="K605" t="s">
        <v>44</v>
      </c>
    </row>
    <row r="606" spans="1:11" ht="15.75" hidden="1" customHeight="1" x14ac:dyDescent="0.15">
      <c r="A606" t="s">
        <v>3062</v>
      </c>
      <c r="B606" t="s">
        <v>3063</v>
      </c>
      <c r="C606" t="s">
        <v>2914</v>
      </c>
      <c r="D606" t="s">
        <v>3064</v>
      </c>
      <c r="E606" t="s">
        <v>2914</v>
      </c>
      <c r="F606" t="s">
        <v>27</v>
      </c>
      <c r="G606" t="s">
        <v>1442</v>
      </c>
      <c r="H606" t="s">
        <v>28</v>
      </c>
      <c r="I606" t="s">
        <v>87</v>
      </c>
      <c r="J606" t="s">
        <v>20</v>
      </c>
      <c r="K606" t="s">
        <v>44</v>
      </c>
    </row>
    <row r="607" spans="1:11" ht="15.75" hidden="1" customHeight="1" x14ac:dyDescent="0.15">
      <c r="A607" t="s">
        <v>3065</v>
      </c>
      <c r="B607" t="s">
        <v>3066</v>
      </c>
      <c r="C607" t="s">
        <v>2914</v>
      </c>
      <c r="D607" t="s">
        <v>3067</v>
      </c>
      <c r="E607" t="s">
        <v>2914</v>
      </c>
      <c r="F607" t="s">
        <v>27</v>
      </c>
      <c r="G607" t="s">
        <v>1442</v>
      </c>
      <c r="H607" t="s">
        <v>28</v>
      </c>
      <c r="I607" t="s">
        <v>87</v>
      </c>
      <c r="J607" t="s">
        <v>20</v>
      </c>
      <c r="K607" t="s">
        <v>44</v>
      </c>
    </row>
    <row r="608" spans="1:11" ht="15.75" hidden="1" customHeight="1" x14ac:dyDescent="0.15">
      <c r="A608" t="s">
        <v>3068</v>
      </c>
      <c r="B608" t="s">
        <v>3069</v>
      </c>
      <c r="C608" t="s">
        <v>2914</v>
      </c>
      <c r="D608" t="s">
        <v>3070</v>
      </c>
      <c r="E608" t="s">
        <v>2914</v>
      </c>
      <c r="F608" t="s">
        <v>27</v>
      </c>
      <c r="G608" t="s">
        <v>1442</v>
      </c>
      <c r="H608" t="s">
        <v>28</v>
      </c>
      <c r="I608" t="s">
        <v>87</v>
      </c>
      <c r="J608" t="s">
        <v>20</v>
      </c>
      <c r="K608" t="s">
        <v>44</v>
      </c>
    </row>
    <row r="609" spans="1:11" ht="15.75" hidden="1" customHeight="1" x14ac:dyDescent="0.15">
      <c r="A609" t="s">
        <v>3071</v>
      </c>
      <c r="B609" t="s">
        <v>3072</v>
      </c>
      <c r="C609" t="s">
        <v>2914</v>
      </c>
      <c r="D609" t="s">
        <v>3073</v>
      </c>
      <c r="E609" t="s">
        <v>2914</v>
      </c>
      <c r="F609" t="s">
        <v>27</v>
      </c>
      <c r="G609" t="s">
        <v>1442</v>
      </c>
      <c r="H609" t="s">
        <v>28</v>
      </c>
      <c r="I609" t="s">
        <v>87</v>
      </c>
      <c r="J609" t="s">
        <v>20</v>
      </c>
      <c r="K609" t="s">
        <v>44</v>
      </c>
    </row>
    <row r="610" spans="1:11" ht="15.75" hidden="1" customHeight="1" x14ac:dyDescent="0.15">
      <c r="A610" t="s">
        <v>3074</v>
      </c>
      <c r="B610" t="s">
        <v>3075</v>
      </c>
      <c r="C610" t="s">
        <v>2914</v>
      </c>
      <c r="D610" t="s">
        <v>3076</v>
      </c>
      <c r="E610" t="s">
        <v>2914</v>
      </c>
      <c r="F610" t="s">
        <v>27</v>
      </c>
      <c r="G610" t="s">
        <v>1442</v>
      </c>
      <c r="H610" t="s">
        <v>28</v>
      </c>
      <c r="I610" t="s">
        <v>87</v>
      </c>
      <c r="J610" t="s">
        <v>20</v>
      </c>
      <c r="K610" t="s">
        <v>44</v>
      </c>
    </row>
    <row r="611" spans="1:11" ht="15.75" hidden="1" customHeight="1" x14ac:dyDescent="0.15">
      <c r="A611" t="s">
        <v>3077</v>
      </c>
      <c r="B611" t="s">
        <v>3078</v>
      </c>
      <c r="C611" t="s">
        <v>2914</v>
      </c>
      <c r="D611" t="s">
        <v>3079</v>
      </c>
      <c r="E611" t="s">
        <v>2914</v>
      </c>
      <c r="F611" t="s">
        <v>27</v>
      </c>
      <c r="G611" t="s">
        <v>1442</v>
      </c>
      <c r="H611" t="s">
        <v>28</v>
      </c>
      <c r="I611" t="s">
        <v>87</v>
      </c>
      <c r="J611" t="s">
        <v>20</v>
      </c>
      <c r="K611" t="s">
        <v>44</v>
      </c>
    </row>
    <row r="612" spans="1:11" ht="15.75" hidden="1" customHeight="1" x14ac:dyDescent="0.15">
      <c r="A612" t="s">
        <v>3080</v>
      </c>
      <c r="B612" t="s">
        <v>3081</v>
      </c>
      <c r="C612" t="s">
        <v>2914</v>
      </c>
      <c r="D612" t="s">
        <v>3082</v>
      </c>
      <c r="E612" t="s">
        <v>2914</v>
      </c>
      <c r="F612" t="s">
        <v>27</v>
      </c>
      <c r="G612" t="s">
        <v>1442</v>
      </c>
      <c r="H612" t="s">
        <v>28</v>
      </c>
      <c r="I612" t="s">
        <v>87</v>
      </c>
      <c r="J612" t="s">
        <v>20</v>
      </c>
      <c r="K612" t="s">
        <v>44</v>
      </c>
    </row>
    <row r="613" spans="1:11" ht="15.75" hidden="1" customHeight="1" x14ac:dyDescent="0.15">
      <c r="A613" t="s">
        <v>3083</v>
      </c>
      <c r="B613" t="s">
        <v>3084</v>
      </c>
      <c r="C613" t="s">
        <v>2914</v>
      </c>
      <c r="D613" t="s">
        <v>3085</v>
      </c>
      <c r="E613" t="s">
        <v>2914</v>
      </c>
      <c r="F613" t="s">
        <v>27</v>
      </c>
      <c r="G613" t="s">
        <v>1442</v>
      </c>
      <c r="H613" t="s">
        <v>28</v>
      </c>
      <c r="I613" t="s">
        <v>87</v>
      </c>
      <c r="J613" t="s">
        <v>20</v>
      </c>
      <c r="K613" t="s">
        <v>44</v>
      </c>
    </row>
    <row r="614" spans="1:11" ht="15.75" hidden="1" customHeight="1" x14ac:dyDescent="0.15">
      <c r="A614" t="s">
        <v>3086</v>
      </c>
      <c r="B614" t="s">
        <v>3087</v>
      </c>
      <c r="C614" t="s">
        <v>2914</v>
      </c>
      <c r="D614" t="s">
        <v>3088</v>
      </c>
      <c r="E614" t="s">
        <v>2914</v>
      </c>
      <c r="F614" t="s">
        <v>27</v>
      </c>
      <c r="G614" t="s">
        <v>1442</v>
      </c>
      <c r="H614" t="s">
        <v>28</v>
      </c>
      <c r="I614" t="s">
        <v>87</v>
      </c>
      <c r="J614" t="s">
        <v>20</v>
      </c>
      <c r="K614" t="s">
        <v>44</v>
      </c>
    </row>
    <row r="615" spans="1:11" ht="15.75" hidden="1" customHeight="1" x14ac:dyDescent="0.15">
      <c r="A615" t="s">
        <v>3089</v>
      </c>
      <c r="B615" t="s">
        <v>3090</v>
      </c>
      <c r="C615" t="s">
        <v>2914</v>
      </c>
      <c r="D615" t="s">
        <v>3091</v>
      </c>
      <c r="E615" t="s">
        <v>2914</v>
      </c>
      <c r="F615" t="s">
        <v>27</v>
      </c>
      <c r="G615" t="s">
        <v>1442</v>
      </c>
      <c r="H615" t="s">
        <v>28</v>
      </c>
      <c r="I615" t="s">
        <v>87</v>
      </c>
      <c r="J615" t="s">
        <v>20</v>
      </c>
      <c r="K615" t="s">
        <v>44</v>
      </c>
    </row>
    <row r="616" spans="1:11" ht="15.75" hidden="1" customHeight="1" x14ac:dyDescent="0.15">
      <c r="A616" t="s">
        <v>3092</v>
      </c>
      <c r="B616" t="s">
        <v>3093</v>
      </c>
      <c r="C616" t="s">
        <v>2914</v>
      </c>
      <c r="D616" t="s">
        <v>3094</v>
      </c>
      <c r="E616" t="s">
        <v>2914</v>
      </c>
      <c r="F616" t="s">
        <v>27</v>
      </c>
      <c r="G616" t="s">
        <v>1442</v>
      </c>
      <c r="H616" t="s">
        <v>28</v>
      </c>
      <c r="I616" t="s">
        <v>87</v>
      </c>
      <c r="J616" t="s">
        <v>20</v>
      </c>
      <c r="K616" t="s">
        <v>44</v>
      </c>
    </row>
    <row r="617" spans="1:11" ht="15.75" hidden="1" customHeight="1" x14ac:dyDescent="0.15">
      <c r="A617" t="s">
        <v>3095</v>
      </c>
      <c r="B617" t="s">
        <v>3096</v>
      </c>
      <c r="C617" t="s">
        <v>2914</v>
      </c>
      <c r="D617" t="s">
        <v>3097</v>
      </c>
      <c r="E617" t="s">
        <v>2914</v>
      </c>
      <c r="F617" t="s">
        <v>27</v>
      </c>
      <c r="G617" t="s">
        <v>1442</v>
      </c>
      <c r="H617" t="s">
        <v>28</v>
      </c>
      <c r="I617" t="s">
        <v>87</v>
      </c>
      <c r="J617" t="s">
        <v>20</v>
      </c>
      <c r="K617" t="s">
        <v>44</v>
      </c>
    </row>
    <row r="618" spans="1:11" ht="15.75" hidden="1" customHeight="1" x14ac:dyDescent="0.15">
      <c r="A618" t="s">
        <v>3098</v>
      </c>
      <c r="B618" t="s">
        <v>3099</v>
      </c>
      <c r="C618" t="s">
        <v>2914</v>
      </c>
      <c r="D618" t="s">
        <v>3100</v>
      </c>
      <c r="E618" t="s">
        <v>2914</v>
      </c>
      <c r="F618" t="s">
        <v>27</v>
      </c>
      <c r="G618" t="s">
        <v>1442</v>
      </c>
      <c r="H618" t="s">
        <v>28</v>
      </c>
      <c r="I618" t="s">
        <v>87</v>
      </c>
      <c r="J618" t="s">
        <v>20</v>
      </c>
      <c r="K618" t="s">
        <v>44</v>
      </c>
    </row>
    <row r="619" spans="1:11" ht="15.75" hidden="1" customHeight="1" x14ac:dyDescent="0.15">
      <c r="A619" t="s">
        <v>3101</v>
      </c>
      <c r="B619" t="s">
        <v>3102</v>
      </c>
      <c r="C619" t="s">
        <v>2914</v>
      </c>
      <c r="D619" t="s">
        <v>3103</v>
      </c>
      <c r="E619" t="s">
        <v>2914</v>
      </c>
      <c r="F619" t="s">
        <v>27</v>
      </c>
      <c r="G619" t="s">
        <v>1442</v>
      </c>
      <c r="H619" t="s">
        <v>28</v>
      </c>
      <c r="I619" t="s">
        <v>87</v>
      </c>
      <c r="J619" t="s">
        <v>20</v>
      </c>
      <c r="K619" t="s">
        <v>44</v>
      </c>
    </row>
    <row r="620" spans="1:11" ht="15.75" hidden="1" customHeight="1" x14ac:dyDescent="0.15">
      <c r="A620" t="s">
        <v>3104</v>
      </c>
      <c r="B620" t="s">
        <v>3105</v>
      </c>
      <c r="C620" t="s">
        <v>2914</v>
      </c>
      <c r="D620" t="s">
        <v>3106</v>
      </c>
      <c r="E620" t="s">
        <v>2914</v>
      </c>
      <c r="F620" t="s">
        <v>27</v>
      </c>
      <c r="G620" t="s">
        <v>1442</v>
      </c>
      <c r="H620" t="s">
        <v>28</v>
      </c>
      <c r="I620" t="s">
        <v>87</v>
      </c>
      <c r="J620" t="s">
        <v>20</v>
      </c>
      <c r="K620" t="s">
        <v>44</v>
      </c>
    </row>
    <row r="621" spans="1:11" ht="15.75" hidden="1" customHeight="1" x14ac:dyDescent="0.15">
      <c r="A621" t="s">
        <v>3107</v>
      </c>
      <c r="B621" t="s">
        <v>3108</v>
      </c>
      <c r="C621" t="s">
        <v>2914</v>
      </c>
      <c r="D621" t="s">
        <v>3109</v>
      </c>
      <c r="E621" t="s">
        <v>2914</v>
      </c>
      <c r="F621" t="s">
        <v>27</v>
      </c>
      <c r="G621" t="s">
        <v>1442</v>
      </c>
      <c r="H621" t="s">
        <v>28</v>
      </c>
      <c r="I621" t="s">
        <v>87</v>
      </c>
      <c r="J621" t="s">
        <v>20</v>
      </c>
      <c r="K621" t="s">
        <v>44</v>
      </c>
    </row>
    <row r="622" spans="1:11" ht="15.75" hidden="1" customHeight="1" x14ac:dyDescent="0.15">
      <c r="A622" t="s">
        <v>3110</v>
      </c>
      <c r="B622" t="s">
        <v>3111</v>
      </c>
      <c r="C622" t="s">
        <v>2914</v>
      </c>
      <c r="D622" t="s">
        <v>3112</v>
      </c>
      <c r="E622" t="s">
        <v>2914</v>
      </c>
      <c r="F622" t="s">
        <v>27</v>
      </c>
      <c r="G622" t="s">
        <v>1442</v>
      </c>
      <c r="H622" t="s">
        <v>28</v>
      </c>
      <c r="I622" t="s">
        <v>87</v>
      </c>
      <c r="J622" t="s">
        <v>20</v>
      </c>
      <c r="K622" t="s">
        <v>44</v>
      </c>
    </row>
    <row r="623" spans="1:11" ht="15.75" hidden="1" customHeight="1" x14ac:dyDescent="0.15">
      <c r="A623" t="s">
        <v>3113</v>
      </c>
      <c r="B623" t="s">
        <v>3114</v>
      </c>
      <c r="C623" t="s">
        <v>2914</v>
      </c>
      <c r="D623" t="s">
        <v>3115</v>
      </c>
      <c r="E623" t="s">
        <v>2914</v>
      </c>
      <c r="F623" t="s">
        <v>27</v>
      </c>
      <c r="G623" t="s">
        <v>1442</v>
      </c>
      <c r="H623" t="s">
        <v>28</v>
      </c>
      <c r="I623" t="s">
        <v>87</v>
      </c>
      <c r="J623" t="s">
        <v>20</v>
      </c>
      <c r="K623" t="s">
        <v>44</v>
      </c>
    </row>
    <row r="624" spans="1:11" ht="15.75" hidden="1" customHeight="1" x14ac:dyDescent="0.15">
      <c r="A624" t="s">
        <v>3116</v>
      </c>
      <c r="B624" t="s">
        <v>3117</v>
      </c>
      <c r="C624" t="s">
        <v>2914</v>
      </c>
      <c r="D624" t="s">
        <v>3118</v>
      </c>
      <c r="E624" t="s">
        <v>2914</v>
      </c>
      <c r="F624" t="s">
        <v>27</v>
      </c>
      <c r="G624" t="s">
        <v>1442</v>
      </c>
      <c r="H624" t="s">
        <v>28</v>
      </c>
      <c r="I624" t="s">
        <v>87</v>
      </c>
      <c r="J624" t="s">
        <v>20</v>
      </c>
      <c r="K624" t="s">
        <v>44</v>
      </c>
    </row>
    <row r="625" spans="1:12" ht="15.75" hidden="1" customHeight="1" x14ac:dyDescent="0.15">
      <c r="A625" t="s">
        <v>3119</v>
      </c>
      <c r="B625" t="s">
        <v>3120</v>
      </c>
      <c r="C625" t="s">
        <v>2914</v>
      </c>
      <c r="D625" t="s">
        <v>3121</v>
      </c>
      <c r="E625" t="s">
        <v>2914</v>
      </c>
      <c r="F625" t="s">
        <v>27</v>
      </c>
      <c r="G625" t="s">
        <v>1442</v>
      </c>
      <c r="H625" t="s">
        <v>28</v>
      </c>
      <c r="I625" t="s">
        <v>87</v>
      </c>
      <c r="J625" t="s">
        <v>20</v>
      </c>
      <c r="K625" t="s">
        <v>44</v>
      </c>
    </row>
    <row r="626" spans="1:12" ht="15.75" hidden="1" customHeight="1" x14ac:dyDescent="0.15">
      <c r="A626" t="s">
        <v>3122</v>
      </c>
      <c r="B626" t="s">
        <v>3123</v>
      </c>
      <c r="C626" t="s">
        <v>2914</v>
      </c>
      <c r="D626" t="s">
        <v>3124</v>
      </c>
      <c r="E626" t="s">
        <v>2914</v>
      </c>
      <c r="F626" t="s">
        <v>27</v>
      </c>
      <c r="G626" t="s">
        <v>1442</v>
      </c>
      <c r="H626" t="s">
        <v>28</v>
      </c>
      <c r="I626" t="s">
        <v>87</v>
      </c>
      <c r="J626" t="s">
        <v>20</v>
      </c>
      <c r="K626" t="s">
        <v>44</v>
      </c>
    </row>
    <row r="627" spans="1:12" ht="15.75" hidden="1" customHeight="1" x14ac:dyDescent="0.15">
      <c r="A627" t="s">
        <v>3125</v>
      </c>
      <c r="B627" t="s">
        <v>3126</v>
      </c>
      <c r="C627" t="s">
        <v>2914</v>
      </c>
      <c r="D627" t="s">
        <v>3127</v>
      </c>
      <c r="E627" t="s">
        <v>2914</v>
      </c>
      <c r="F627" t="s">
        <v>27</v>
      </c>
      <c r="G627" t="s">
        <v>1442</v>
      </c>
      <c r="H627" t="s">
        <v>28</v>
      </c>
      <c r="I627" t="s">
        <v>87</v>
      </c>
      <c r="J627" t="s">
        <v>20</v>
      </c>
      <c r="K627" t="s">
        <v>44</v>
      </c>
    </row>
    <row r="628" spans="1:12" ht="15.75" hidden="1" customHeight="1" x14ac:dyDescent="0.15">
      <c r="A628" t="s">
        <v>3128</v>
      </c>
      <c r="B628" t="s">
        <v>3129</v>
      </c>
      <c r="C628" t="s">
        <v>2914</v>
      </c>
      <c r="D628" t="s">
        <v>3130</v>
      </c>
      <c r="E628" t="s">
        <v>2914</v>
      </c>
      <c r="F628" t="s">
        <v>27</v>
      </c>
      <c r="G628" t="s">
        <v>1442</v>
      </c>
      <c r="H628" t="s">
        <v>28</v>
      </c>
      <c r="I628" t="s">
        <v>87</v>
      </c>
      <c r="J628" t="s">
        <v>20</v>
      </c>
      <c r="K628" t="s">
        <v>44</v>
      </c>
    </row>
    <row r="629" spans="1:12" ht="15.75" hidden="1" customHeight="1" x14ac:dyDescent="0.15">
      <c r="A629" t="s">
        <v>3131</v>
      </c>
      <c r="B629" t="s">
        <v>3132</v>
      </c>
      <c r="C629" t="s">
        <v>2914</v>
      </c>
      <c r="D629" t="s">
        <v>3133</v>
      </c>
      <c r="E629" t="s">
        <v>2914</v>
      </c>
      <c r="F629" t="s">
        <v>27</v>
      </c>
      <c r="G629" t="s">
        <v>1442</v>
      </c>
      <c r="H629" t="s">
        <v>28</v>
      </c>
      <c r="I629" t="s">
        <v>87</v>
      </c>
      <c r="J629" t="s">
        <v>20</v>
      </c>
      <c r="K629" t="s">
        <v>44</v>
      </c>
    </row>
    <row r="630" spans="1:12" ht="15.75" hidden="1" customHeight="1" x14ac:dyDescent="0.15">
      <c r="A630" t="s">
        <v>3134</v>
      </c>
      <c r="B630" t="s">
        <v>3135</v>
      </c>
      <c r="C630" t="s">
        <v>2914</v>
      </c>
      <c r="D630" t="s">
        <v>3136</v>
      </c>
      <c r="E630" t="s">
        <v>2914</v>
      </c>
      <c r="F630" t="s">
        <v>27</v>
      </c>
      <c r="G630" t="s">
        <v>1442</v>
      </c>
      <c r="H630" t="s">
        <v>28</v>
      </c>
      <c r="I630" t="s">
        <v>87</v>
      </c>
      <c r="J630" t="s">
        <v>20</v>
      </c>
      <c r="K630" t="s">
        <v>44</v>
      </c>
    </row>
    <row r="631" spans="1:12" ht="15.75" hidden="1" customHeight="1" x14ac:dyDescent="0.15">
      <c r="A631" t="s">
        <v>3137</v>
      </c>
      <c r="B631" t="s">
        <v>3138</v>
      </c>
      <c r="C631" t="s">
        <v>2914</v>
      </c>
      <c r="D631" t="s">
        <v>3139</v>
      </c>
      <c r="E631" t="s">
        <v>2914</v>
      </c>
      <c r="F631" t="s">
        <v>27</v>
      </c>
      <c r="G631" t="s">
        <v>1442</v>
      </c>
      <c r="H631" t="s">
        <v>28</v>
      </c>
      <c r="I631" t="s">
        <v>87</v>
      </c>
      <c r="J631" t="s">
        <v>20</v>
      </c>
      <c r="K631" t="s">
        <v>44</v>
      </c>
    </row>
    <row r="632" spans="1:12" ht="15.75" hidden="1" customHeight="1" x14ac:dyDescent="0.15">
      <c r="A632" t="s">
        <v>3140</v>
      </c>
      <c r="B632" t="s">
        <v>3141</v>
      </c>
      <c r="C632" t="s">
        <v>2914</v>
      </c>
      <c r="D632" t="s">
        <v>3142</v>
      </c>
      <c r="E632" t="s">
        <v>2914</v>
      </c>
      <c r="F632" t="s">
        <v>27</v>
      </c>
      <c r="G632" t="s">
        <v>1442</v>
      </c>
      <c r="H632" t="s">
        <v>28</v>
      </c>
      <c r="I632" t="s">
        <v>87</v>
      </c>
      <c r="J632" t="s">
        <v>20</v>
      </c>
      <c r="K632" t="s">
        <v>44</v>
      </c>
    </row>
    <row r="633" spans="1:12" ht="15.75" hidden="1" customHeight="1" x14ac:dyDescent="0.15">
      <c r="A633" t="s">
        <v>806</v>
      </c>
      <c r="B633" t="s">
        <v>807</v>
      </c>
      <c r="C633" t="s">
        <v>808</v>
      </c>
      <c r="D633" t="s">
        <v>809</v>
      </c>
      <c r="E633" t="s">
        <v>810</v>
      </c>
      <c r="F633" t="s">
        <v>16</v>
      </c>
      <c r="G633" s="5" t="s">
        <v>17</v>
      </c>
      <c r="H633" t="s">
        <v>18</v>
      </c>
      <c r="I633" t="s">
        <v>87</v>
      </c>
      <c r="J633" t="s">
        <v>20</v>
      </c>
      <c r="K633" t="s">
        <v>44</v>
      </c>
      <c r="L633">
        <v>1</v>
      </c>
    </row>
    <row r="634" spans="1:12" ht="15.75" hidden="1" customHeight="1" x14ac:dyDescent="0.15">
      <c r="A634" t="s">
        <v>831</v>
      </c>
      <c r="B634" t="s">
        <v>832</v>
      </c>
      <c r="C634" t="s">
        <v>833</v>
      </c>
      <c r="D634" t="s">
        <v>834</v>
      </c>
      <c r="E634" t="s">
        <v>835</v>
      </c>
      <c r="F634" t="s">
        <v>16</v>
      </c>
      <c r="G634" s="5" t="s">
        <v>17</v>
      </c>
      <c r="H634" t="s">
        <v>18</v>
      </c>
      <c r="I634" t="s">
        <v>87</v>
      </c>
      <c r="J634" t="s">
        <v>20</v>
      </c>
      <c r="K634" t="s">
        <v>44</v>
      </c>
      <c r="L634">
        <v>2</v>
      </c>
    </row>
    <row r="635" spans="1:12" ht="15.75" hidden="1" customHeight="1" x14ac:dyDescent="0.15">
      <c r="A635" t="s">
        <v>899</v>
      </c>
      <c r="B635" t="s">
        <v>900</v>
      </c>
      <c r="C635" t="s">
        <v>901</v>
      </c>
      <c r="D635" t="s">
        <v>902</v>
      </c>
      <c r="E635" t="s">
        <v>903</v>
      </c>
      <c r="F635" t="s">
        <v>16</v>
      </c>
      <c r="G635" s="5" t="s">
        <v>17</v>
      </c>
      <c r="H635" t="s">
        <v>18</v>
      </c>
      <c r="I635" t="s">
        <v>87</v>
      </c>
      <c r="J635" t="s">
        <v>20</v>
      </c>
      <c r="K635" t="s">
        <v>44</v>
      </c>
      <c r="L635">
        <v>3</v>
      </c>
    </row>
    <row r="636" spans="1:12" ht="15.75" hidden="1" customHeight="1" x14ac:dyDescent="0.15">
      <c r="A636" t="s">
        <v>1414</v>
      </c>
      <c r="B636" t="s">
        <v>1415</v>
      </c>
      <c r="C636" t="s">
        <v>1416</v>
      </c>
      <c r="D636" t="s">
        <v>1417</v>
      </c>
      <c r="E636" t="s">
        <v>1418</v>
      </c>
      <c r="F636" t="s">
        <v>16</v>
      </c>
      <c r="G636" s="5" t="s">
        <v>17</v>
      </c>
      <c r="H636" t="s">
        <v>18</v>
      </c>
      <c r="I636" t="s">
        <v>87</v>
      </c>
      <c r="J636" t="s">
        <v>20</v>
      </c>
      <c r="K636" t="s">
        <v>44</v>
      </c>
      <c r="L636">
        <v>4</v>
      </c>
    </row>
    <row r="637" spans="1:12" ht="15.75" hidden="1" customHeight="1" x14ac:dyDescent="0.15">
      <c r="A637" t="s">
        <v>1553</v>
      </c>
      <c r="B637" t="s">
        <v>1554</v>
      </c>
      <c r="C637" t="s">
        <v>1555</v>
      </c>
      <c r="D637" t="s">
        <v>1556</v>
      </c>
      <c r="E637" t="s">
        <v>1557</v>
      </c>
      <c r="F637" t="s">
        <v>16</v>
      </c>
      <c r="G637" s="5" t="s">
        <v>17</v>
      </c>
      <c r="H637" t="s">
        <v>18</v>
      </c>
      <c r="I637" t="s">
        <v>87</v>
      </c>
      <c r="J637" t="s">
        <v>20</v>
      </c>
      <c r="K637" t="s">
        <v>44</v>
      </c>
      <c r="L637">
        <v>5</v>
      </c>
    </row>
    <row r="638" spans="1:12" ht="15.75" hidden="1" customHeight="1" x14ac:dyDescent="0.15">
      <c r="A638" t="s">
        <v>473</v>
      </c>
      <c r="B638" t="s">
        <v>474</v>
      </c>
      <c r="C638" t="s">
        <v>475</v>
      </c>
      <c r="D638" t="s">
        <v>476</v>
      </c>
      <c r="E638" t="s">
        <v>477</v>
      </c>
      <c r="F638" t="s">
        <v>16</v>
      </c>
      <c r="G638" t="s">
        <v>17</v>
      </c>
      <c r="H638" t="s">
        <v>124</v>
      </c>
      <c r="I638" t="s">
        <v>118</v>
      </c>
      <c r="J638" t="s">
        <v>20</v>
      </c>
      <c r="K638" t="s">
        <v>66</v>
      </c>
      <c r="L638">
        <v>1</v>
      </c>
    </row>
    <row r="639" spans="1:12" ht="15.75" hidden="1" customHeight="1" x14ac:dyDescent="0.15">
      <c r="A639" t="s">
        <v>563</v>
      </c>
      <c r="B639" t="s">
        <v>564</v>
      </c>
      <c r="C639" t="s">
        <v>565</v>
      </c>
      <c r="D639" t="s">
        <v>566</v>
      </c>
      <c r="E639" t="s">
        <v>567</v>
      </c>
      <c r="F639" t="s">
        <v>16</v>
      </c>
      <c r="G639" t="s">
        <v>17</v>
      </c>
      <c r="H639" t="s">
        <v>124</v>
      </c>
      <c r="I639" t="s">
        <v>118</v>
      </c>
      <c r="J639" t="s">
        <v>20</v>
      </c>
      <c r="K639" t="s">
        <v>66</v>
      </c>
      <c r="L639">
        <v>2</v>
      </c>
    </row>
    <row r="640" spans="1:12" ht="15.75" hidden="1" customHeight="1" x14ac:dyDescent="0.15">
      <c r="A640" t="s">
        <v>578</v>
      </c>
      <c r="B640" t="s">
        <v>579</v>
      </c>
      <c r="C640" t="s">
        <v>580</v>
      </c>
      <c r="D640" t="s">
        <v>581</v>
      </c>
      <c r="E640" t="s">
        <v>582</v>
      </c>
      <c r="F640" t="s">
        <v>16</v>
      </c>
      <c r="G640" t="s">
        <v>17</v>
      </c>
      <c r="H640" t="s">
        <v>124</v>
      </c>
      <c r="I640" t="s">
        <v>118</v>
      </c>
      <c r="J640" t="s">
        <v>20</v>
      </c>
      <c r="K640" t="s">
        <v>66</v>
      </c>
      <c r="L640">
        <v>3</v>
      </c>
    </row>
    <row r="641" spans="1:12" ht="15.75" hidden="1" customHeight="1" x14ac:dyDescent="0.15">
      <c r="A641" t="s">
        <v>632</v>
      </c>
      <c r="B641" t="s">
        <v>633</v>
      </c>
      <c r="C641" t="s">
        <v>634</v>
      </c>
      <c r="D641" t="s">
        <v>635</v>
      </c>
      <c r="E641" t="s">
        <v>636</v>
      </c>
      <c r="F641" t="s">
        <v>16</v>
      </c>
      <c r="G641" t="s">
        <v>17</v>
      </c>
      <c r="H641" t="s">
        <v>124</v>
      </c>
      <c r="I641" t="s">
        <v>118</v>
      </c>
      <c r="J641" t="s">
        <v>20</v>
      </c>
      <c r="K641" t="s">
        <v>66</v>
      </c>
      <c r="L641">
        <v>4</v>
      </c>
    </row>
    <row r="642" spans="1:12" ht="15.75" hidden="1" customHeight="1" x14ac:dyDescent="0.15">
      <c r="A642" t="s">
        <v>1468</v>
      </c>
      <c r="B642" t="s">
        <v>1469</v>
      </c>
      <c r="C642" t="s">
        <v>1470</v>
      </c>
      <c r="D642" t="s">
        <v>1471</v>
      </c>
      <c r="E642" t="s">
        <v>1472</v>
      </c>
      <c r="F642" t="s">
        <v>16</v>
      </c>
      <c r="G642" t="s">
        <v>17</v>
      </c>
      <c r="H642" t="s">
        <v>124</v>
      </c>
      <c r="I642" t="s">
        <v>118</v>
      </c>
      <c r="J642" t="s">
        <v>20</v>
      </c>
      <c r="K642" t="s">
        <v>66</v>
      </c>
      <c r="L642">
        <v>5</v>
      </c>
    </row>
    <row r="643" spans="1:12" ht="15.75" hidden="1" customHeight="1" x14ac:dyDescent="0.15">
      <c r="A643" t="s">
        <v>652</v>
      </c>
      <c r="B643" s="3" t="s">
        <v>653</v>
      </c>
      <c r="C643" t="s">
        <v>654</v>
      </c>
      <c r="D643" t="s">
        <v>655</v>
      </c>
      <c r="E643" t="s">
        <v>656</v>
      </c>
      <c r="F643" t="s">
        <v>16</v>
      </c>
      <c r="G643" t="s">
        <v>17</v>
      </c>
      <c r="H643" s="3" t="s">
        <v>42</v>
      </c>
      <c r="I643" s="1" t="s">
        <v>118</v>
      </c>
      <c r="J643" s="1" t="s">
        <v>20</v>
      </c>
      <c r="K643" s="3" t="s">
        <v>66</v>
      </c>
      <c r="L643">
        <v>1</v>
      </c>
    </row>
    <row r="644" spans="1:12" ht="15.75" hidden="1" customHeight="1" x14ac:dyDescent="0.15">
      <c r="A644" t="s">
        <v>1131</v>
      </c>
      <c r="B644" t="s">
        <v>1132</v>
      </c>
      <c r="C644" t="s">
        <v>1133</v>
      </c>
      <c r="D644" t="s">
        <v>1134</v>
      </c>
      <c r="E644" t="s">
        <v>1135</v>
      </c>
      <c r="F644" t="s">
        <v>16</v>
      </c>
      <c r="G644" t="s">
        <v>17</v>
      </c>
      <c r="H644" t="s">
        <v>42</v>
      </c>
      <c r="I644" t="s">
        <v>118</v>
      </c>
      <c r="J644" t="s">
        <v>20</v>
      </c>
      <c r="K644" t="s">
        <v>66</v>
      </c>
      <c r="L644">
        <v>2</v>
      </c>
    </row>
    <row r="645" spans="1:12" ht="15.75" hidden="1" customHeight="1" x14ac:dyDescent="0.15">
      <c r="A645" t="s">
        <v>1304</v>
      </c>
      <c r="B645" t="s">
        <v>1305</v>
      </c>
      <c r="C645" t="s">
        <v>1306</v>
      </c>
      <c r="D645" t="s">
        <v>1307</v>
      </c>
      <c r="E645" t="s">
        <v>1308</v>
      </c>
      <c r="F645" t="s">
        <v>16</v>
      </c>
      <c r="G645" t="s">
        <v>17</v>
      </c>
      <c r="H645" t="s">
        <v>42</v>
      </c>
      <c r="I645" t="s">
        <v>118</v>
      </c>
      <c r="J645" t="s">
        <v>20</v>
      </c>
      <c r="K645" t="s">
        <v>66</v>
      </c>
      <c r="L645">
        <v>4</v>
      </c>
    </row>
    <row r="646" spans="1:12" ht="15.75" hidden="1" customHeight="1" x14ac:dyDescent="0.15">
      <c r="A646" t="s">
        <v>1409</v>
      </c>
      <c r="B646" t="s">
        <v>1410</v>
      </c>
      <c r="C646" t="s">
        <v>1411</v>
      </c>
      <c r="D646" t="s">
        <v>1412</v>
      </c>
      <c r="E646" t="s">
        <v>1413</v>
      </c>
      <c r="F646" t="s">
        <v>16</v>
      </c>
      <c r="G646" t="s">
        <v>17</v>
      </c>
      <c r="H646" t="s">
        <v>42</v>
      </c>
      <c r="I646" t="s">
        <v>118</v>
      </c>
      <c r="J646" t="s">
        <v>20</v>
      </c>
      <c r="K646" t="s">
        <v>66</v>
      </c>
      <c r="L646">
        <v>5</v>
      </c>
    </row>
    <row r="647" spans="1:12" ht="15.75" hidden="1" customHeight="1" x14ac:dyDescent="0.15">
      <c r="A647" t="s">
        <v>929</v>
      </c>
      <c r="B647" s="3" t="s">
        <v>930</v>
      </c>
      <c r="C647" t="s">
        <v>931</v>
      </c>
      <c r="D647" t="s">
        <v>932</v>
      </c>
      <c r="E647" t="s">
        <v>933</v>
      </c>
      <c r="F647" t="s">
        <v>16</v>
      </c>
      <c r="G647" t="s">
        <v>17</v>
      </c>
      <c r="H647" t="s">
        <v>150</v>
      </c>
      <c r="I647" t="s">
        <v>118</v>
      </c>
      <c r="J647" t="s">
        <v>20</v>
      </c>
      <c r="K647" t="s">
        <v>66</v>
      </c>
      <c r="L647">
        <v>1</v>
      </c>
    </row>
    <row r="648" spans="1:12" ht="15.75" hidden="1" customHeight="1" x14ac:dyDescent="0.15">
      <c r="A648" t="s">
        <v>1034</v>
      </c>
      <c r="B648" t="s">
        <v>1035</v>
      </c>
      <c r="C648" t="s">
        <v>1036</v>
      </c>
      <c r="D648" t="s">
        <v>1037</v>
      </c>
      <c r="E648" t="s">
        <v>1038</v>
      </c>
      <c r="F648" t="s">
        <v>16</v>
      </c>
      <c r="G648" t="s">
        <v>17</v>
      </c>
      <c r="H648" t="s">
        <v>150</v>
      </c>
      <c r="I648" t="s">
        <v>118</v>
      </c>
      <c r="J648" t="s">
        <v>20</v>
      </c>
      <c r="K648" t="s">
        <v>66</v>
      </c>
      <c r="L648">
        <v>2</v>
      </c>
    </row>
    <row r="649" spans="1:12" ht="15.75" hidden="1" customHeight="1" x14ac:dyDescent="0.15">
      <c r="A649" t="s">
        <v>1107</v>
      </c>
      <c r="B649" t="s">
        <v>1108</v>
      </c>
      <c r="C649" t="s">
        <v>1109</v>
      </c>
      <c r="D649" t="s">
        <v>1110</v>
      </c>
      <c r="E649" t="s">
        <v>1111</v>
      </c>
      <c r="F649" t="s">
        <v>16</v>
      </c>
      <c r="G649" t="s">
        <v>17</v>
      </c>
      <c r="H649" t="s">
        <v>150</v>
      </c>
      <c r="I649" t="s">
        <v>118</v>
      </c>
      <c r="J649" t="s">
        <v>20</v>
      </c>
      <c r="K649" t="s">
        <v>66</v>
      </c>
      <c r="L649">
        <v>3</v>
      </c>
    </row>
    <row r="650" spans="1:12" ht="15.75" hidden="1" customHeight="1" x14ac:dyDescent="0.15">
      <c r="A650" t="s">
        <v>1279</v>
      </c>
      <c r="B650" t="s">
        <v>1280</v>
      </c>
      <c r="C650" t="s">
        <v>1281</v>
      </c>
      <c r="D650" t="s">
        <v>1282</v>
      </c>
      <c r="E650" t="s">
        <v>1283</v>
      </c>
      <c r="F650" t="s">
        <v>16</v>
      </c>
      <c r="G650" t="s">
        <v>17</v>
      </c>
      <c r="H650" t="s">
        <v>150</v>
      </c>
      <c r="I650" t="s">
        <v>118</v>
      </c>
      <c r="J650" t="s">
        <v>20</v>
      </c>
      <c r="K650" t="s">
        <v>66</v>
      </c>
      <c r="L650">
        <v>4</v>
      </c>
    </row>
    <row r="651" spans="1:12" ht="15.75" hidden="1" customHeight="1" x14ac:dyDescent="0.15">
      <c r="A651" t="s">
        <v>1324</v>
      </c>
      <c r="B651" t="s">
        <v>1325</v>
      </c>
      <c r="C651" t="s">
        <v>1326</v>
      </c>
      <c r="D651" t="s">
        <v>1327</v>
      </c>
      <c r="E651" t="s">
        <v>1328</v>
      </c>
      <c r="F651" t="s">
        <v>16</v>
      </c>
      <c r="G651" t="s">
        <v>17</v>
      </c>
      <c r="H651" t="s">
        <v>150</v>
      </c>
      <c r="I651" t="s">
        <v>118</v>
      </c>
      <c r="J651" t="s">
        <v>20</v>
      </c>
      <c r="K651" t="s">
        <v>66</v>
      </c>
      <c r="L651">
        <v>5</v>
      </c>
    </row>
    <row r="652" spans="1:12" ht="15.75" hidden="1" customHeight="1" x14ac:dyDescent="0.15">
      <c r="A652" t="s">
        <v>171</v>
      </c>
      <c r="B652" s="3" t="s">
        <v>172</v>
      </c>
      <c r="C652" t="s">
        <v>173</v>
      </c>
      <c r="D652" t="s">
        <v>174</v>
      </c>
      <c r="E652" t="s">
        <v>175</v>
      </c>
      <c r="F652" t="s">
        <v>16</v>
      </c>
      <c r="G652" t="s">
        <v>17</v>
      </c>
      <c r="H652" t="s">
        <v>36</v>
      </c>
      <c r="I652" t="s">
        <v>118</v>
      </c>
      <c r="J652" t="s">
        <v>20</v>
      </c>
      <c r="K652" t="s">
        <v>66</v>
      </c>
      <c r="L652">
        <v>1</v>
      </c>
    </row>
    <row r="653" spans="1:12" ht="15.75" hidden="1" customHeight="1" x14ac:dyDescent="0.15">
      <c r="A653" t="s">
        <v>448</v>
      </c>
      <c r="B653" t="s">
        <v>449</v>
      </c>
      <c r="C653" t="s">
        <v>450</v>
      </c>
      <c r="D653" t="s">
        <v>451</v>
      </c>
      <c r="E653" t="s">
        <v>452</v>
      </c>
      <c r="F653" t="s">
        <v>16</v>
      </c>
      <c r="G653" t="s">
        <v>17</v>
      </c>
      <c r="H653" t="s">
        <v>36</v>
      </c>
      <c r="I653" t="s">
        <v>118</v>
      </c>
      <c r="J653" t="s">
        <v>20</v>
      </c>
      <c r="K653" t="s">
        <v>66</v>
      </c>
      <c r="L653">
        <v>2</v>
      </c>
    </row>
    <row r="654" spans="1:12" ht="15.75" hidden="1" customHeight="1" x14ac:dyDescent="0.15">
      <c r="A654" t="s">
        <v>846</v>
      </c>
      <c r="B654" t="s">
        <v>847</v>
      </c>
      <c r="C654" t="s">
        <v>848</v>
      </c>
      <c r="D654" t="s">
        <v>849</v>
      </c>
      <c r="E654" t="s">
        <v>850</v>
      </c>
      <c r="F654" t="s">
        <v>16</v>
      </c>
      <c r="G654" t="s">
        <v>17</v>
      </c>
      <c r="H654" t="s">
        <v>36</v>
      </c>
      <c r="I654" t="s">
        <v>118</v>
      </c>
      <c r="J654" t="s">
        <v>20</v>
      </c>
      <c r="K654" t="s">
        <v>66</v>
      </c>
      <c r="L654">
        <v>3</v>
      </c>
    </row>
    <row r="655" spans="1:12" ht="15.75" hidden="1" customHeight="1" x14ac:dyDescent="0.15">
      <c r="A655" t="s">
        <v>1078</v>
      </c>
      <c r="B655" t="s">
        <v>1079</v>
      </c>
      <c r="C655" t="s">
        <v>1080</v>
      </c>
      <c r="D655" t="s">
        <v>1081</v>
      </c>
      <c r="E655" t="s">
        <v>1082</v>
      </c>
      <c r="F655" t="s">
        <v>16</v>
      </c>
      <c r="G655" t="s">
        <v>17</v>
      </c>
      <c r="H655" t="s">
        <v>36</v>
      </c>
      <c r="I655" t="s">
        <v>118</v>
      </c>
      <c r="J655" t="s">
        <v>20</v>
      </c>
      <c r="K655" t="s">
        <v>66</v>
      </c>
      <c r="L655">
        <v>4</v>
      </c>
    </row>
    <row r="656" spans="1:12" ht="15.75" hidden="1" customHeight="1" x14ac:dyDescent="0.15">
      <c r="A656" t="s">
        <v>1171</v>
      </c>
      <c r="B656" t="s">
        <v>1172</v>
      </c>
      <c r="C656" t="s">
        <v>1173</v>
      </c>
      <c r="D656" t="s">
        <v>1174</v>
      </c>
      <c r="E656" t="s">
        <v>1175</v>
      </c>
      <c r="F656" t="s">
        <v>16</v>
      </c>
      <c r="G656" t="s">
        <v>17</v>
      </c>
      <c r="H656" t="s">
        <v>36</v>
      </c>
      <c r="I656" t="s">
        <v>118</v>
      </c>
      <c r="J656" t="s">
        <v>20</v>
      </c>
      <c r="K656" t="s">
        <v>66</v>
      </c>
      <c r="L656">
        <v>5</v>
      </c>
    </row>
    <row r="657" spans="1:12" ht="15.75" hidden="1" customHeight="1" x14ac:dyDescent="0.15">
      <c r="A657" t="s">
        <v>2688</v>
      </c>
      <c r="B657" t="s">
        <v>2689</v>
      </c>
      <c r="C657" t="s">
        <v>2690</v>
      </c>
      <c r="D657" t="s">
        <v>2691</v>
      </c>
      <c r="E657" t="s">
        <v>2692</v>
      </c>
      <c r="F657" t="s">
        <v>27</v>
      </c>
      <c r="G657" t="s">
        <v>17</v>
      </c>
      <c r="H657" t="s">
        <v>28</v>
      </c>
      <c r="I657" t="s">
        <v>118</v>
      </c>
      <c r="J657" t="s">
        <v>20</v>
      </c>
      <c r="K657" t="s">
        <v>66</v>
      </c>
    </row>
    <row r="658" spans="1:12" ht="15.75" hidden="1" customHeight="1" x14ac:dyDescent="0.15">
      <c r="A658" t="s">
        <v>2693</v>
      </c>
      <c r="B658" t="s">
        <v>2694</v>
      </c>
      <c r="C658" t="s">
        <v>2695</v>
      </c>
      <c r="D658" t="s">
        <v>2696</v>
      </c>
      <c r="E658" t="s">
        <v>2697</v>
      </c>
      <c r="F658" t="s">
        <v>27</v>
      </c>
      <c r="G658" t="s">
        <v>17</v>
      </c>
      <c r="H658" t="s">
        <v>28</v>
      </c>
      <c r="I658" t="s">
        <v>118</v>
      </c>
      <c r="J658" t="s">
        <v>20</v>
      </c>
      <c r="K658" t="s">
        <v>66</v>
      </c>
    </row>
    <row r="659" spans="1:12" ht="15.75" hidden="1" customHeight="1" x14ac:dyDescent="0.15">
      <c r="A659" t="s">
        <v>2702</v>
      </c>
      <c r="B659" t="s">
        <v>2703</v>
      </c>
      <c r="C659" t="s">
        <v>2704</v>
      </c>
      <c r="D659" t="s">
        <v>2705</v>
      </c>
      <c r="E659" t="s">
        <v>2706</v>
      </c>
      <c r="F659" t="s">
        <v>27</v>
      </c>
      <c r="G659" t="s">
        <v>17</v>
      </c>
      <c r="H659" t="s">
        <v>28</v>
      </c>
      <c r="I659" t="s">
        <v>118</v>
      </c>
      <c r="J659" t="s">
        <v>20</v>
      </c>
      <c r="K659" t="s">
        <v>66</v>
      </c>
    </row>
    <row r="660" spans="1:12" ht="15.75" hidden="1" customHeight="1" x14ac:dyDescent="0.15">
      <c r="A660" t="s">
        <v>2707</v>
      </c>
      <c r="B660" t="s">
        <v>2708</v>
      </c>
      <c r="C660" t="s">
        <v>2709</v>
      </c>
      <c r="D660" t="s">
        <v>2710</v>
      </c>
      <c r="E660" t="s">
        <v>2711</v>
      </c>
      <c r="F660" t="s">
        <v>27</v>
      </c>
      <c r="G660" t="s">
        <v>17</v>
      </c>
      <c r="H660" t="s">
        <v>28</v>
      </c>
      <c r="I660" t="s">
        <v>118</v>
      </c>
      <c r="J660" t="s">
        <v>20</v>
      </c>
      <c r="K660" t="s">
        <v>66</v>
      </c>
    </row>
    <row r="661" spans="1:12" ht="26.25" customHeight="1" x14ac:dyDescent="0.15">
      <c r="A661" t="s">
        <v>2399</v>
      </c>
      <c r="B661" t="s">
        <v>2400</v>
      </c>
      <c r="C661" t="s">
        <v>2401</v>
      </c>
      <c r="D661" t="s">
        <v>2402</v>
      </c>
      <c r="E661" t="s">
        <v>2403</v>
      </c>
      <c r="F661" t="s">
        <v>27</v>
      </c>
      <c r="G661" s="4" t="s">
        <v>17</v>
      </c>
      <c r="H661" t="s">
        <v>28</v>
      </c>
      <c r="I661" t="s">
        <v>43</v>
      </c>
      <c r="J661" t="s">
        <v>30</v>
      </c>
      <c r="K661" t="s">
        <v>44</v>
      </c>
    </row>
    <row r="662" spans="1:12" ht="26.25" customHeight="1" x14ac:dyDescent="0.15">
      <c r="A662" t="s">
        <v>2413</v>
      </c>
      <c r="B662" t="s">
        <v>2414</v>
      </c>
      <c r="C662" t="s">
        <v>2415</v>
      </c>
      <c r="D662" t="s">
        <v>2416</v>
      </c>
      <c r="E662" t="s">
        <v>2417</v>
      </c>
      <c r="F662" t="s">
        <v>27</v>
      </c>
      <c r="G662" s="4" t="s">
        <v>17</v>
      </c>
      <c r="H662" t="s">
        <v>28</v>
      </c>
      <c r="I662" t="s">
        <v>43</v>
      </c>
      <c r="J662" t="s">
        <v>30</v>
      </c>
      <c r="K662" t="s">
        <v>44</v>
      </c>
    </row>
    <row r="663" spans="1:12" ht="26.25" customHeight="1" x14ac:dyDescent="0.15">
      <c r="A663" t="s">
        <v>2466</v>
      </c>
      <c r="B663" t="s">
        <v>2467</v>
      </c>
      <c r="C663" t="s">
        <v>2468</v>
      </c>
      <c r="D663" t="s">
        <v>2469</v>
      </c>
      <c r="E663" t="s">
        <v>2470</v>
      </c>
      <c r="F663" t="s">
        <v>27</v>
      </c>
      <c r="G663" s="4" t="s">
        <v>17</v>
      </c>
      <c r="H663" t="s">
        <v>28</v>
      </c>
      <c r="I663" t="s">
        <v>43</v>
      </c>
      <c r="J663" t="s">
        <v>30</v>
      </c>
      <c r="K663" t="s">
        <v>44</v>
      </c>
    </row>
    <row r="664" spans="1:12" ht="26.25" customHeight="1" x14ac:dyDescent="0.15">
      <c r="A664" t="s">
        <v>2480</v>
      </c>
      <c r="B664" t="s">
        <v>2481</v>
      </c>
      <c r="C664" t="s">
        <v>2482</v>
      </c>
      <c r="D664" t="s">
        <v>2483</v>
      </c>
      <c r="E664" t="s">
        <v>2484</v>
      </c>
      <c r="F664" t="s">
        <v>27</v>
      </c>
      <c r="G664" s="4" t="s">
        <v>17</v>
      </c>
      <c r="H664" t="s">
        <v>28</v>
      </c>
      <c r="I664" t="s">
        <v>43</v>
      </c>
      <c r="J664" t="s">
        <v>30</v>
      </c>
      <c r="K664" t="s">
        <v>44</v>
      </c>
    </row>
    <row r="665" spans="1:12" ht="26.25" customHeight="1" x14ac:dyDescent="0.15">
      <c r="A665" t="s">
        <v>2495</v>
      </c>
      <c r="B665" t="s">
        <v>2496</v>
      </c>
      <c r="C665" t="s">
        <v>2497</v>
      </c>
      <c r="D665" t="s">
        <v>2498</v>
      </c>
      <c r="E665" t="s">
        <v>2499</v>
      </c>
      <c r="F665" t="s">
        <v>27</v>
      </c>
      <c r="G665" s="4" t="s">
        <v>17</v>
      </c>
      <c r="H665" t="s">
        <v>28</v>
      </c>
      <c r="I665" t="s">
        <v>43</v>
      </c>
      <c r="J665" t="s">
        <v>30</v>
      </c>
      <c r="K665" t="s">
        <v>44</v>
      </c>
    </row>
    <row r="666" spans="1:12" ht="26.25" customHeight="1" x14ac:dyDescent="0.15">
      <c r="A666" t="s">
        <v>2594</v>
      </c>
      <c r="B666" t="s">
        <v>2595</v>
      </c>
      <c r="C666" t="s">
        <v>2596</v>
      </c>
      <c r="D666" t="s">
        <v>2597</v>
      </c>
      <c r="E666" t="s">
        <v>2598</v>
      </c>
      <c r="F666" t="s">
        <v>27</v>
      </c>
      <c r="G666" s="4" t="s">
        <v>17</v>
      </c>
      <c r="H666" t="s">
        <v>28</v>
      </c>
      <c r="I666" t="s">
        <v>43</v>
      </c>
      <c r="J666" t="s">
        <v>30</v>
      </c>
      <c r="K666" t="s">
        <v>44</v>
      </c>
    </row>
    <row r="667" spans="1:12" ht="26.25" customHeight="1" x14ac:dyDescent="0.15">
      <c r="A667" t="s">
        <v>2618</v>
      </c>
      <c r="B667" t="s">
        <v>2619</v>
      </c>
      <c r="C667" t="s">
        <v>2620</v>
      </c>
      <c r="D667" t="s">
        <v>2621</v>
      </c>
      <c r="E667" t="s">
        <v>2622</v>
      </c>
      <c r="F667" t="s">
        <v>27</v>
      </c>
      <c r="G667" s="4" t="s">
        <v>17</v>
      </c>
      <c r="H667" t="s">
        <v>28</v>
      </c>
      <c r="I667" t="s">
        <v>43</v>
      </c>
      <c r="J667" t="s">
        <v>30</v>
      </c>
      <c r="K667" t="s">
        <v>44</v>
      </c>
    </row>
    <row r="668" spans="1:12" ht="26.25" customHeight="1" x14ac:dyDescent="0.15">
      <c r="A668" t="s">
        <v>2628</v>
      </c>
      <c r="B668" t="s">
        <v>2629</v>
      </c>
      <c r="C668" t="s">
        <v>2630</v>
      </c>
      <c r="D668" t="s">
        <v>2631</v>
      </c>
      <c r="E668" t="s">
        <v>2632</v>
      </c>
      <c r="F668" t="s">
        <v>27</v>
      </c>
      <c r="G668" s="4" t="s">
        <v>17</v>
      </c>
      <c r="H668" t="s">
        <v>28</v>
      </c>
      <c r="I668" t="s">
        <v>43</v>
      </c>
      <c r="J668" t="s">
        <v>30</v>
      </c>
      <c r="K668" t="s">
        <v>44</v>
      </c>
    </row>
    <row r="669" spans="1:12" ht="26.25" customHeight="1" x14ac:dyDescent="0.15">
      <c r="A669" t="s">
        <v>2658</v>
      </c>
      <c r="B669" t="s">
        <v>2659</v>
      </c>
      <c r="C669" t="s">
        <v>2660</v>
      </c>
      <c r="D669" t="s">
        <v>2661</v>
      </c>
      <c r="E669" t="s">
        <v>2607</v>
      </c>
      <c r="F669" t="s">
        <v>27</v>
      </c>
      <c r="G669" s="4" t="s">
        <v>17</v>
      </c>
      <c r="H669" t="s">
        <v>28</v>
      </c>
      <c r="I669" t="s">
        <v>43</v>
      </c>
      <c r="J669" t="s">
        <v>30</v>
      </c>
      <c r="K669" t="s">
        <v>44</v>
      </c>
    </row>
    <row r="670" spans="1:12" ht="26.25" customHeight="1" x14ac:dyDescent="0.15">
      <c r="A670" t="s">
        <v>2677</v>
      </c>
      <c r="B670" t="s">
        <v>2678</v>
      </c>
      <c r="C670" t="s">
        <v>2679</v>
      </c>
      <c r="D670" t="s">
        <v>2680</v>
      </c>
      <c r="E670" t="s">
        <v>2681</v>
      </c>
      <c r="F670" t="s">
        <v>27</v>
      </c>
      <c r="G670" s="4" t="s">
        <v>17</v>
      </c>
      <c r="H670" t="s">
        <v>28</v>
      </c>
      <c r="I670" t="s">
        <v>43</v>
      </c>
      <c r="J670" t="s">
        <v>30</v>
      </c>
      <c r="K670" t="s">
        <v>44</v>
      </c>
    </row>
    <row r="671" spans="1:12" ht="26.25" customHeight="1" x14ac:dyDescent="0.15">
      <c r="A671" t="s">
        <v>558</v>
      </c>
      <c r="B671" s="3" t="s">
        <v>559</v>
      </c>
      <c r="C671" t="s">
        <v>560</v>
      </c>
      <c r="D671" t="s">
        <v>561</v>
      </c>
      <c r="E671" t="s">
        <v>562</v>
      </c>
      <c r="F671" t="s">
        <v>16</v>
      </c>
      <c r="G671" s="4" t="s">
        <v>17</v>
      </c>
      <c r="H671" t="s">
        <v>18</v>
      </c>
      <c r="I671" t="s">
        <v>43</v>
      </c>
      <c r="J671" t="s">
        <v>30</v>
      </c>
      <c r="K671" t="s">
        <v>44</v>
      </c>
      <c r="L671">
        <v>1</v>
      </c>
    </row>
    <row r="672" spans="1:12" ht="26.25" customHeight="1" x14ac:dyDescent="0.15">
      <c r="A672" t="s">
        <v>712</v>
      </c>
      <c r="B672" t="s">
        <v>713</v>
      </c>
      <c r="C672" t="s">
        <v>714</v>
      </c>
      <c r="D672" t="s">
        <v>715</v>
      </c>
      <c r="E672" t="s">
        <v>716</v>
      </c>
      <c r="F672" t="s">
        <v>16</v>
      </c>
      <c r="G672" s="4" t="s">
        <v>17</v>
      </c>
      <c r="H672" t="s">
        <v>18</v>
      </c>
      <c r="I672" t="s">
        <v>43</v>
      </c>
      <c r="J672" t="s">
        <v>30</v>
      </c>
      <c r="K672" t="s">
        <v>44</v>
      </c>
      <c r="L672">
        <v>3</v>
      </c>
    </row>
    <row r="673" spans="1:12" ht="26.25" customHeight="1" x14ac:dyDescent="0.15">
      <c r="A673" t="s">
        <v>919</v>
      </c>
      <c r="B673" t="s">
        <v>920</v>
      </c>
      <c r="C673" t="s">
        <v>921</v>
      </c>
      <c r="D673" t="s">
        <v>922</v>
      </c>
      <c r="E673" t="s">
        <v>923</v>
      </c>
      <c r="F673" t="s">
        <v>16</v>
      </c>
      <c r="G673" s="4" t="s">
        <v>17</v>
      </c>
      <c r="H673" t="s">
        <v>18</v>
      </c>
      <c r="I673" t="s">
        <v>43</v>
      </c>
      <c r="J673" t="s">
        <v>30</v>
      </c>
      <c r="K673" t="s">
        <v>44</v>
      </c>
      <c r="L673">
        <v>4</v>
      </c>
    </row>
    <row r="674" spans="1:12" ht="26.25" customHeight="1" x14ac:dyDescent="0.15">
      <c r="A674" t="s">
        <v>1181</v>
      </c>
      <c r="B674" s="3" t="s">
        <v>1182</v>
      </c>
      <c r="C674" t="s">
        <v>1183</v>
      </c>
      <c r="D674" t="s">
        <v>1184</v>
      </c>
      <c r="E674" t="s">
        <v>1185</v>
      </c>
      <c r="F674" t="s">
        <v>16</v>
      </c>
      <c r="G674" s="4" t="s">
        <v>17</v>
      </c>
      <c r="H674" t="s">
        <v>18</v>
      </c>
      <c r="I674" t="s">
        <v>43</v>
      </c>
      <c r="J674" t="s">
        <v>30</v>
      </c>
      <c r="K674" t="s">
        <v>44</v>
      </c>
      <c r="L674">
        <v>5</v>
      </c>
    </row>
    <row r="675" spans="1:12" ht="26.25" hidden="1" customHeight="1" x14ac:dyDescent="0.15">
      <c r="A675" t="s">
        <v>2379</v>
      </c>
      <c r="B675" t="s">
        <v>2380</v>
      </c>
      <c r="C675" t="s">
        <v>2381</v>
      </c>
      <c r="D675" t="s">
        <v>2382</v>
      </c>
      <c r="E675" t="s">
        <v>2383</v>
      </c>
      <c r="F675" t="s">
        <v>27</v>
      </c>
      <c r="G675" s="4" t="s">
        <v>17</v>
      </c>
      <c r="H675" t="s">
        <v>28</v>
      </c>
      <c r="I675" t="s">
        <v>58</v>
      </c>
      <c r="J675" t="s">
        <v>51</v>
      </c>
      <c r="K675" t="s">
        <v>59</v>
      </c>
    </row>
    <row r="676" spans="1:12" ht="26.25" hidden="1" customHeight="1" x14ac:dyDescent="0.15">
      <c r="A676" t="s">
        <v>2409</v>
      </c>
      <c r="B676" t="s">
        <v>2410</v>
      </c>
      <c r="C676" t="s">
        <v>2411</v>
      </c>
      <c r="D676" t="s">
        <v>2412</v>
      </c>
      <c r="E676" t="s">
        <v>1517</v>
      </c>
      <c r="F676" t="s">
        <v>27</v>
      </c>
      <c r="G676" s="4" t="s">
        <v>17</v>
      </c>
      <c r="H676" t="s">
        <v>28</v>
      </c>
      <c r="I676" t="s">
        <v>58</v>
      </c>
      <c r="J676" t="s">
        <v>51</v>
      </c>
      <c r="K676" t="s">
        <v>59</v>
      </c>
    </row>
    <row r="677" spans="1:12" ht="26.25" hidden="1" customHeight="1" x14ac:dyDescent="0.15">
      <c r="A677" t="s">
        <v>2451</v>
      </c>
      <c r="B677" t="s">
        <v>2452</v>
      </c>
      <c r="C677" t="s">
        <v>2453</v>
      </c>
      <c r="D677" t="s">
        <v>2454</v>
      </c>
      <c r="E677" t="s">
        <v>2455</v>
      </c>
      <c r="F677" t="s">
        <v>27</v>
      </c>
      <c r="G677" s="4" t="s">
        <v>17</v>
      </c>
      <c r="H677" t="s">
        <v>28</v>
      </c>
      <c r="I677" t="s">
        <v>58</v>
      </c>
      <c r="J677" t="s">
        <v>51</v>
      </c>
      <c r="K677" t="s">
        <v>59</v>
      </c>
    </row>
    <row r="678" spans="1:12" ht="26.25" hidden="1" customHeight="1" x14ac:dyDescent="0.15">
      <c r="A678" t="s">
        <v>2456</v>
      </c>
      <c r="B678" t="s">
        <v>2457</v>
      </c>
      <c r="C678" t="s">
        <v>2458</v>
      </c>
      <c r="D678" t="s">
        <v>2459</v>
      </c>
      <c r="E678" t="s">
        <v>2460</v>
      </c>
      <c r="F678" t="s">
        <v>27</v>
      </c>
      <c r="G678" s="4" t="s">
        <v>17</v>
      </c>
      <c r="H678" t="s">
        <v>28</v>
      </c>
      <c r="I678" t="s">
        <v>58</v>
      </c>
      <c r="J678" t="s">
        <v>51</v>
      </c>
      <c r="K678" t="s">
        <v>59</v>
      </c>
    </row>
    <row r="679" spans="1:12" ht="26.25" hidden="1" customHeight="1" x14ac:dyDescent="0.15">
      <c r="A679" t="s">
        <v>2476</v>
      </c>
      <c r="B679" t="s">
        <v>2477</v>
      </c>
      <c r="C679" t="s">
        <v>2478</v>
      </c>
      <c r="D679" t="s">
        <v>2479</v>
      </c>
      <c r="E679" t="s">
        <v>2475</v>
      </c>
      <c r="F679" t="s">
        <v>27</v>
      </c>
      <c r="G679" s="4" t="s">
        <v>17</v>
      </c>
      <c r="H679" t="s">
        <v>28</v>
      </c>
      <c r="I679" t="s">
        <v>58</v>
      </c>
      <c r="J679" t="s">
        <v>51</v>
      </c>
      <c r="K679" t="s">
        <v>59</v>
      </c>
    </row>
    <row r="680" spans="1:12" ht="26.25" hidden="1" customHeight="1" x14ac:dyDescent="0.15">
      <c r="A680" t="s">
        <v>2510</v>
      </c>
      <c r="B680" t="s">
        <v>2511</v>
      </c>
      <c r="C680" t="s">
        <v>2512</v>
      </c>
      <c r="D680" t="s">
        <v>2513</v>
      </c>
      <c r="E680" t="s">
        <v>2514</v>
      </c>
      <c r="F680" t="s">
        <v>27</v>
      </c>
      <c r="G680" s="4" t="s">
        <v>17</v>
      </c>
      <c r="H680" t="s">
        <v>28</v>
      </c>
      <c r="I680" t="s">
        <v>58</v>
      </c>
      <c r="J680" t="s">
        <v>51</v>
      </c>
      <c r="K680" t="s">
        <v>59</v>
      </c>
    </row>
    <row r="681" spans="1:12" ht="26.25" hidden="1" customHeight="1" x14ac:dyDescent="0.15">
      <c r="A681" t="s">
        <v>2515</v>
      </c>
      <c r="B681" t="s">
        <v>2516</v>
      </c>
      <c r="C681" t="s">
        <v>2517</v>
      </c>
      <c r="D681" t="s">
        <v>2518</v>
      </c>
      <c r="E681" t="s">
        <v>2519</v>
      </c>
      <c r="F681" t="s">
        <v>27</v>
      </c>
      <c r="G681" s="4" t="s">
        <v>17</v>
      </c>
      <c r="H681" t="s">
        <v>28</v>
      </c>
      <c r="I681" t="s">
        <v>58</v>
      </c>
      <c r="J681" t="s">
        <v>51</v>
      </c>
      <c r="K681" t="s">
        <v>59</v>
      </c>
    </row>
    <row r="682" spans="1:12" ht="26.25" hidden="1" customHeight="1" x14ac:dyDescent="0.15">
      <c r="A682" t="s">
        <v>2544</v>
      </c>
      <c r="B682" t="s">
        <v>2545</v>
      </c>
      <c r="C682" t="s">
        <v>2546</v>
      </c>
      <c r="D682" t="s">
        <v>2547</v>
      </c>
      <c r="E682" t="s">
        <v>2548</v>
      </c>
      <c r="F682" t="s">
        <v>27</v>
      </c>
      <c r="G682" s="4" t="s">
        <v>17</v>
      </c>
      <c r="H682" t="s">
        <v>28</v>
      </c>
      <c r="I682" t="s">
        <v>58</v>
      </c>
      <c r="J682" t="s">
        <v>51</v>
      </c>
      <c r="K682" t="s">
        <v>59</v>
      </c>
    </row>
    <row r="683" spans="1:12" ht="26.25" hidden="1" customHeight="1" x14ac:dyDescent="0.15">
      <c r="A683" t="s">
        <v>2569</v>
      </c>
      <c r="B683" t="s">
        <v>2570</v>
      </c>
      <c r="C683" t="s">
        <v>2571</v>
      </c>
      <c r="D683" t="s">
        <v>2572</v>
      </c>
      <c r="E683" t="s">
        <v>2573</v>
      </c>
      <c r="F683" t="s">
        <v>27</v>
      </c>
      <c r="G683" s="4" t="s">
        <v>17</v>
      </c>
      <c r="H683" t="s">
        <v>28</v>
      </c>
      <c r="I683" t="s">
        <v>58</v>
      </c>
      <c r="J683" t="s">
        <v>51</v>
      </c>
      <c r="K683" t="s">
        <v>59</v>
      </c>
    </row>
    <row r="684" spans="1:12" ht="26.25" hidden="1" customHeight="1" x14ac:dyDescent="0.15">
      <c r="A684" t="s">
        <v>2623</v>
      </c>
      <c r="B684" t="s">
        <v>2624</v>
      </c>
      <c r="C684" t="s">
        <v>2625</v>
      </c>
      <c r="D684" t="s">
        <v>2626</v>
      </c>
      <c r="E684" t="s">
        <v>2627</v>
      </c>
      <c r="F684" t="s">
        <v>27</v>
      </c>
      <c r="G684" s="4" t="s">
        <v>17</v>
      </c>
      <c r="H684" t="s">
        <v>28</v>
      </c>
      <c r="I684" t="s">
        <v>58</v>
      </c>
      <c r="J684" t="s">
        <v>51</v>
      </c>
      <c r="K684" t="s">
        <v>59</v>
      </c>
    </row>
    <row r="685" spans="1:12" ht="26.25" hidden="1" customHeight="1" x14ac:dyDescent="0.15">
      <c r="A685" s="1" t="s">
        <v>53</v>
      </c>
      <c r="B685" s="1" t="s">
        <v>54</v>
      </c>
      <c r="C685" s="1" t="s">
        <v>55</v>
      </c>
      <c r="D685" s="1" t="s">
        <v>56</v>
      </c>
      <c r="E685" s="1" t="s">
        <v>57</v>
      </c>
      <c r="F685" s="1" t="s">
        <v>16</v>
      </c>
      <c r="G685" s="8" t="s">
        <v>17</v>
      </c>
      <c r="H685" s="1" t="s">
        <v>18</v>
      </c>
      <c r="I685" s="1" t="s">
        <v>58</v>
      </c>
      <c r="J685" s="1" t="s">
        <v>51</v>
      </c>
      <c r="K685" s="1" t="s">
        <v>59</v>
      </c>
      <c r="L685">
        <v>1</v>
      </c>
    </row>
    <row r="686" spans="1:12" ht="26.25" hidden="1" customHeight="1" x14ac:dyDescent="0.15">
      <c r="A686" t="s">
        <v>211</v>
      </c>
      <c r="B686" t="s">
        <v>212</v>
      </c>
      <c r="C686" t="s">
        <v>213</v>
      </c>
      <c r="D686" t="s">
        <v>214</v>
      </c>
      <c r="E686" t="s">
        <v>215</v>
      </c>
      <c r="F686" t="s">
        <v>16</v>
      </c>
      <c r="G686" s="4" t="s">
        <v>17</v>
      </c>
      <c r="H686" t="s">
        <v>18</v>
      </c>
      <c r="I686" t="s">
        <v>58</v>
      </c>
      <c r="J686" t="s">
        <v>51</v>
      </c>
      <c r="K686" t="s">
        <v>59</v>
      </c>
      <c r="L686">
        <v>2</v>
      </c>
    </row>
    <row r="687" spans="1:12" ht="26.25" hidden="1" customHeight="1" x14ac:dyDescent="0.15">
      <c r="A687" t="s">
        <v>384</v>
      </c>
      <c r="B687" t="s">
        <v>385</v>
      </c>
      <c r="C687" t="s">
        <v>386</v>
      </c>
      <c r="D687" t="s">
        <v>387</v>
      </c>
      <c r="E687" t="s">
        <v>388</v>
      </c>
      <c r="F687" t="s">
        <v>16</v>
      </c>
      <c r="G687" s="4" t="s">
        <v>17</v>
      </c>
      <c r="H687" t="s">
        <v>18</v>
      </c>
      <c r="I687" t="s">
        <v>58</v>
      </c>
      <c r="J687" t="s">
        <v>51</v>
      </c>
      <c r="K687" t="s">
        <v>59</v>
      </c>
      <c r="L687">
        <v>3</v>
      </c>
    </row>
    <row r="688" spans="1:12" ht="26.25" hidden="1" customHeight="1" x14ac:dyDescent="0.15">
      <c r="A688" t="s">
        <v>999</v>
      </c>
      <c r="B688" t="s">
        <v>1000</v>
      </c>
      <c r="C688" t="s">
        <v>1001</v>
      </c>
      <c r="D688" t="s">
        <v>1002</v>
      </c>
      <c r="E688" t="s">
        <v>1003</v>
      </c>
      <c r="F688" t="s">
        <v>16</v>
      </c>
      <c r="G688" s="4" t="s">
        <v>17</v>
      </c>
      <c r="H688" t="s">
        <v>18</v>
      </c>
      <c r="I688" t="s">
        <v>58</v>
      </c>
      <c r="J688" t="s">
        <v>51</v>
      </c>
      <c r="K688" t="s">
        <v>59</v>
      </c>
      <c r="L688">
        <v>4</v>
      </c>
    </row>
    <row r="689" spans="1:12" ht="26.25" hidden="1" customHeight="1" x14ac:dyDescent="0.15">
      <c r="A689" t="s">
        <v>1200</v>
      </c>
      <c r="B689" t="s">
        <v>1201</v>
      </c>
      <c r="C689" t="s">
        <v>1202</v>
      </c>
      <c r="D689" t="s">
        <v>1203</v>
      </c>
      <c r="E689" t="s">
        <v>1199</v>
      </c>
      <c r="F689" t="s">
        <v>16</v>
      </c>
      <c r="G689" s="4" t="s">
        <v>17</v>
      </c>
      <c r="H689" t="s">
        <v>18</v>
      </c>
      <c r="I689" t="s">
        <v>58</v>
      </c>
      <c r="J689" t="s">
        <v>51</v>
      </c>
      <c r="K689" t="s">
        <v>59</v>
      </c>
      <c r="L689">
        <v>5</v>
      </c>
    </row>
    <row r="690" spans="1:12" ht="26.25" hidden="1" customHeight="1" x14ac:dyDescent="0.15">
      <c r="A690" t="s">
        <v>2722</v>
      </c>
      <c r="B690" t="s">
        <v>2723</v>
      </c>
      <c r="C690" t="s">
        <v>2724</v>
      </c>
      <c r="D690" t="s">
        <v>2725</v>
      </c>
      <c r="E690" t="s">
        <v>2726</v>
      </c>
      <c r="F690" t="s">
        <v>27</v>
      </c>
      <c r="G690" s="4" t="s">
        <v>17</v>
      </c>
      <c r="H690" t="s">
        <v>28</v>
      </c>
      <c r="I690" t="s">
        <v>118</v>
      </c>
      <c r="J690" t="s">
        <v>20</v>
      </c>
      <c r="K690" t="s">
        <v>66</v>
      </c>
    </row>
    <row r="691" spans="1:12" ht="26.25" hidden="1" customHeight="1" x14ac:dyDescent="0.15">
      <c r="A691" t="s">
        <v>2736</v>
      </c>
      <c r="B691" t="s">
        <v>2737</v>
      </c>
      <c r="C691" t="s">
        <v>2738</v>
      </c>
      <c r="D691" t="s">
        <v>2739</v>
      </c>
      <c r="E691" t="s">
        <v>2740</v>
      </c>
      <c r="F691" t="s">
        <v>27</v>
      </c>
      <c r="G691" s="4" t="s">
        <v>17</v>
      </c>
      <c r="H691" t="s">
        <v>28</v>
      </c>
      <c r="I691" t="s">
        <v>118</v>
      </c>
      <c r="J691" t="s">
        <v>20</v>
      </c>
      <c r="K691" t="s">
        <v>66</v>
      </c>
    </row>
    <row r="692" spans="1:12" ht="26.25" hidden="1" customHeight="1" x14ac:dyDescent="0.15">
      <c r="A692" t="s">
        <v>2741</v>
      </c>
      <c r="B692" t="s">
        <v>2742</v>
      </c>
      <c r="C692" t="s">
        <v>2743</v>
      </c>
      <c r="D692" t="s">
        <v>2744</v>
      </c>
      <c r="E692" t="s">
        <v>2745</v>
      </c>
      <c r="F692" t="s">
        <v>27</v>
      </c>
      <c r="G692" s="4" t="s">
        <v>17</v>
      </c>
      <c r="H692" t="s">
        <v>28</v>
      </c>
      <c r="I692" t="s">
        <v>118</v>
      </c>
      <c r="J692" t="s">
        <v>20</v>
      </c>
      <c r="K692" t="s">
        <v>66</v>
      </c>
    </row>
    <row r="693" spans="1:12" ht="26.25" hidden="1" customHeight="1" x14ac:dyDescent="0.15">
      <c r="A693" t="s">
        <v>2746</v>
      </c>
      <c r="B693" t="s">
        <v>2747</v>
      </c>
      <c r="C693" t="s">
        <v>2748</v>
      </c>
      <c r="D693" t="s">
        <v>2749</v>
      </c>
      <c r="E693" t="s">
        <v>2750</v>
      </c>
      <c r="F693" t="s">
        <v>27</v>
      </c>
      <c r="G693" s="4" t="s">
        <v>17</v>
      </c>
      <c r="H693" t="s">
        <v>28</v>
      </c>
      <c r="I693" t="s">
        <v>118</v>
      </c>
      <c r="J693" t="s">
        <v>20</v>
      </c>
      <c r="K693" t="s">
        <v>66</v>
      </c>
    </row>
    <row r="694" spans="1:12" ht="26.25" hidden="1" customHeight="1" x14ac:dyDescent="0.15">
      <c r="A694" t="s">
        <v>2769</v>
      </c>
      <c r="B694" t="s">
        <v>2770</v>
      </c>
      <c r="C694" t="s">
        <v>2771</v>
      </c>
      <c r="D694" t="s">
        <v>2772</v>
      </c>
      <c r="E694" t="s">
        <v>2773</v>
      </c>
      <c r="F694" t="s">
        <v>27</v>
      </c>
      <c r="G694" s="4" t="s">
        <v>17</v>
      </c>
      <c r="H694" t="s">
        <v>28</v>
      </c>
      <c r="I694" t="s">
        <v>118</v>
      </c>
      <c r="J694" t="s">
        <v>20</v>
      </c>
      <c r="K694" t="s">
        <v>66</v>
      </c>
    </row>
    <row r="695" spans="1:12" ht="26.25" hidden="1" customHeight="1" x14ac:dyDescent="0.15">
      <c r="A695" t="s">
        <v>2784</v>
      </c>
      <c r="B695" t="s">
        <v>2785</v>
      </c>
      <c r="C695" t="s">
        <v>2786</v>
      </c>
      <c r="D695" t="s">
        <v>2787</v>
      </c>
      <c r="E695" t="s">
        <v>2788</v>
      </c>
      <c r="F695" t="s">
        <v>27</v>
      </c>
      <c r="G695" s="4" t="s">
        <v>17</v>
      </c>
      <c r="H695" t="s">
        <v>28</v>
      </c>
      <c r="I695" t="s">
        <v>118</v>
      </c>
      <c r="J695" t="s">
        <v>20</v>
      </c>
      <c r="K695" t="s">
        <v>66</v>
      </c>
    </row>
    <row r="696" spans="1:12" ht="26.25" hidden="1" customHeight="1" x14ac:dyDescent="0.15">
      <c r="A696" t="s">
        <v>2819</v>
      </c>
      <c r="B696" t="s">
        <v>2820</v>
      </c>
      <c r="C696" t="s">
        <v>2821</v>
      </c>
      <c r="D696" t="s">
        <v>2822</v>
      </c>
      <c r="E696" t="s">
        <v>2823</v>
      </c>
      <c r="F696" t="s">
        <v>27</v>
      </c>
      <c r="G696" s="4" t="s">
        <v>17</v>
      </c>
      <c r="H696" t="s">
        <v>28</v>
      </c>
      <c r="I696" t="s">
        <v>118</v>
      </c>
      <c r="J696" t="s">
        <v>20</v>
      </c>
      <c r="K696" t="s">
        <v>66</v>
      </c>
    </row>
    <row r="697" spans="1:12" ht="26.25" hidden="1" customHeight="1" x14ac:dyDescent="0.15">
      <c r="A697" t="s">
        <v>2849</v>
      </c>
      <c r="B697" t="s">
        <v>2850</v>
      </c>
      <c r="C697" t="s">
        <v>2851</v>
      </c>
      <c r="D697" t="s">
        <v>2852</v>
      </c>
      <c r="E697" t="s">
        <v>2853</v>
      </c>
      <c r="F697" t="s">
        <v>27</v>
      </c>
      <c r="G697" s="4" t="s">
        <v>17</v>
      </c>
      <c r="H697" t="s">
        <v>28</v>
      </c>
      <c r="I697" t="s">
        <v>118</v>
      </c>
      <c r="J697" t="s">
        <v>20</v>
      </c>
      <c r="K697" t="s">
        <v>66</v>
      </c>
    </row>
    <row r="698" spans="1:12" ht="26.25" hidden="1" customHeight="1" x14ac:dyDescent="0.15">
      <c r="A698" t="s">
        <v>2854</v>
      </c>
      <c r="B698" t="s">
        <v>2855</v>
      </c>
      <c r="C698" t="s">
        <v>2856</v>
      </c>
      <c r="D698" t="s">
        <v>2857</v>
      </c>
      <c r="E698" t="s">
        <v>2858</v>
      </c>
      <c r="F698" t="s">
        <v>27</v>
      </c>
      <c r="G698" s="4" t="s">
        <v>17</v>
      </c>
      <c r="H698" t="s">
        <v>28</v>
      </c>
      <c r="I698" t="s">
        <v>118</v>
      </c>
      <c r="J698" t="s">
        <v>20</v>
      </c>
      <c r="K698" t="s">
        <v>66</v>
      </c>
    </row>
    <row r="699" spans="1:12" ht="26.25" hidden="1" customHeight="1" x14ac:dyDescent="0.15">
      <c r="A699" t="s">
        <v>2874</v>
      </c>
      <c r="B699" t="s">
        <v>2875</v>
      </c>
      <c r="C699" t="s">
        <v>2876</v>
      </c>
      <c r="D699" t="s">
        <v>2877</v>
      </c>
      <c r="E699" t="s">
        <v>2878</v>
      </c>
      <c r="F699" t="s">
        <v>27</v>
      </c>
      <c r="G699" s="4" t="s">
        <v>17</v>
      </c>
      <c r="H699" t="s">
        <v>28</v>
      </c>
      <c r="I699" t="s">
        <v>118</v>
      </c>
      <c r="J699" t="s">
        <v>20</v>
      </c>
      <c r="K699" t="s">
        <v>66</v>
      </c>
    </row>
    <row r="700" spans="1:12" ht="26.25" hidden="1" customHeight="1" x14ac:dyDescent="0.15">
      <c r="A700" s="1" t="s">
        <v>113</v>
      </c>
      <c r="B700" s="1" t="s">
        <v>114</v>
      </c>
      <c r="C700" s="1" t="s">
        <v>115</v>
      </c>
      <c r="D700" s="1" t="s">
        <v>116</v>
      </c>
      <c r="E700" s="1" t="s">
        <v>117</v>
      </c>
      <c r="F700" s="1" t="s">
        <v>16</v>
      </c>
      <c r="G700" s="8" t="s">
        <v>17</v>
      </c>
      <c r="H700" s="1" t="s">
        <v>18</v>
      </c>
      <c r="I700" s="1" t="s">
        <v>118</v>
      </c>
      <c r="J700" s="1" t="s">
        <v>20</v>
      </c>
      <c r="K700" s="1" t="s">
        <v>66</v>
      </c>
      <c r="L700">
        <v>1</v>
      </c>
    </row>
    <row r="701" spans="1:12" ht="26.25" hidden="1" customHeight="1" x14ac:dyDescent="0.15">
      <c r="A701" t="s">
        <v>364</v>
      </c>
      <c r="B701" t="s">
        <v>365</v>
      </c>
      <c r="C701" t="s">
        <v>366</v>
      </c>
      <c r="D701" t="s">
        <v>367</v>
      </c>
      <c r="E701" t="s">
        <v>368</v>
      </c>
      <c r="F701" t="s">
        <v>16</v>
      </c>
      <c r="G701" s="4" t="s">
        <v>17</v>
      </c>
      <c r="H701" t="s">
        <v>18</v>
      </c>
      <c r="I701" t="s">
        <v>118</v>
      </c>
      <c r="J701" t="s">
        <v>20</v>
      </c>
      <c r="K701" t="s">
        <v>66</v>
      </c>
      <c r="L701">
        <v>2</v>
      </c>
    </row>
    <row r="702" spans="1:12" ht="26.25" hidden="1" customHeight="1" x14ac:dyDescent="0.15">
      <c r="A702" t="s">
        <v>617</v>
      </c>
      <c r="B702" t="s">
        <v>618</v>
      </c>
      <c r="C702" t="s">
        <v>619</v>
      </c>
      <c r="D702" t="s">
        <v>620</v>
      </c>
      <c r="E702" t="s">
        <v>621</v>
      </c>
      <c r="F702" t="s">
        <v>16</v>
      </c>
      <c r="G702" s="4" t="s">
        <v>17</v>
      </c>
      <c r="H702" t="s">
        <v>18</v>
      </c>
      <c r="I702" t="s">
        <v>118</v>
      </c>
      <c r="J702" t="s">
        <v>20</v>
      </c>
      <c r="K702" t="s">
        <v>66</v>
      </c>
      <c r="L702">
        <v>3</v>
      </c>
    </row>
    <row r="703" spans="1:12" ht="26.25" hidden="1" customHeight="1" x14ac:dyDescent="0.15">
      <c r="A703" t="s">
        <v>667</v>
      </c>
      <c r="B703" t="s">
        <v>668</v>
      </c>
      <c r="C703" t="s">
        <v>669</v>
      </c>
      <c r="D703" t="s">
        <v>670</v>
      </c>
      <c r="E703" t="s">
        <v>671</v>
      </c>
      <c r="F703" t="s">
        <v>16</v>
      </c>
      <c r="G703" s="4" t="s">
        <v>17</v>
      </c>
      <c r="H703" t="s">
        <v>18</v>
      </c>
      <c r="I703" t="s">
        <v>118</v>
      </c>
      <c r="J703" t="s">
        <v>20</v>
      </c>
      <c r="K703" t="s">
        <v>66</v>
      </c>
      <c r="L703">
        <v>4</v>
      </c>
    </row>
    <row r="704" spans="1:12" ht="26.25" hidden="1" customHeight="1" x14ac:dyDescent="0.15">
      <c r="A704" t="s">
        <v>1588</v>
      </c>
      <c r="B704" t="s">
        <v>1589</v>
      </c>
      <c r="C704" t="s">
        <v>1590</v>
      </c>
      <c r="D704" t="s">
        <v>1591</v>
      </c>
      <c r="E704" t="s">
        <v>1592</v>
      </c>
      <c r="F704" t="s">
        <v>16</v>
      </c>
      <c r="G704" s="7" t="s">
        <v>17</v>
      </c>
      <c r="H704" t="s">
        <v>18</v>
      </c>
      <c r="I704" t="s">
        <v>118</v>
      </c>
      <c r="J704" t="s">
        <v>20</v>
      </c>
      <c r="K704" t="s">
        <v>66</v>
      </c>
      <c r="L704">
        <v>5</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EACL 26 Program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Fast, Dennis</cp:lastModifiedBy>
  <dcterms:modified xsi:type="dcterms:W3CDTF">2026-03-25T00:08:49Z</dcterms:modified>
</cp:coreProperties>
</file>